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imelines/timeline1.xml" ContentType="application/vnd.ms-excel.timeline+xml"/>
  <Override PartName="/xl/drawings/drawing3.xml" ContentType="application/vnd.openxmlformats-officedocument.drawing+xml"/>
  <Override PartName="/xl/slicers/slicer3.xml" ContentType="application/vnd.ms-excel.slicer+xml"/>
  <Override PartName="/xl/timelines/timeline2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onta\Downloads\"/>
    </mc:Choice>
  </mc:AlternateContent>
  <xr:revisionPtr revIDLastSave="0" documentId="13_ncr:1_{2C4DD03B-FBD9-4F25-92CD-9FBAE37EDBD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se_Dados" sheetId="1" r:id="rId1"/>
    <sheet name="Cálculos1" sheetId="4" r:id="rId2"/>
    <sheet name="Cálculos" sheetId="3" state="hidden" r:id="rId3"/>
    <sheet name="Dashboard" sheetId="2" r:id="rId4"/>
  </sheets>
  <definedNames>
    <definedName name="NativeTimeline_Data">#N/A</definedName>
    <definedName name="SegmentaçãodeDados_Periodicidade">#N/A</definedName>
    <definedName name="SegmentaçãodeDados_Produto">#N/A</definedName>
    <definedName name="SegmentaçãodeDados_Região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4" l="1"/>
  <c r="I7" i="4"/>
  <c r="I4" i="4"/>
  <c r="I3" i="4"/>
</calcChain>
</file>

<file path=xl/sharedStrings.xml><?xml version="1.0" encoding="utf-8"?>
<sst xmlns="http://schemas.openxmlformats.org/spreadsheetml/2006/main" count="1344" uniqueCount="63">
  <si>
    <t>Data</t>
  </si>
  <si>
    <t>Produto</t>
  </si>
  <si>
    <t>Categoria</t>
  </si>
  <si>
    <t>Região</t>
  </si>
  <si>
    <t>Vendedor</t>
  </si>
  <si>
    <t>Quantidade</t>
  </si>
  <si>
    <t>Valor Unitário</t>
  </si>
  <si>
    <t>Valor Total</t>
  </si>
  <si>
    <t>Xbox Series S</t>
  </si>
  <si>
    <t>Console</t>
  </si>
  <si>
    <t>Nordeste</t>
  </si>
  <si>
    <t>Bruno</t>
  </si>
  <si>
    <t>Sul</t>
  </si>
  <si>
    <t>Daniela</t>
  </si>
  <si>
    <t>Xbox Series X</t>
  </si>
  <si>
    <t>Carlos</t>
  </si>
  <si>
    <t>Controle Xbox</t>
  </si>
  <si>
    <t>Acessório</t>
  </si>
  <si>
    <t>Ana</t>
  </si>
  <si>
    <t>Norte</t>
  </si>
  <si>
    <t>Game Pass</t>
  </si>
  <si>
    <t>Serviço</t>
  </si>
  <si>
    <t>Centro-Oeste</t>
  </si>
  <si>
    <t>Headset Gamer</t>
  </si>
  <si>
    <t>Sudeste</t>
  </si>
  <si>
    <t>Eduardo</t>
  </si>
  <si>
    <t>Soma de Valor Total</t>
  </si>
  <si>
    <t>Rótulos de Linha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</si>
  <si>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</si>
  <si>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</si>
  <si>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</si>
  <si>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</si>
  <si>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</si>
  <si>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</si>
  <si>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</si>
  <si>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</si>
  <si>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</si>
  <si>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</si>
  <si>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</si>
  <si>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</si>
  <si>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</si>
  <si>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2024</t>
  </si>
  <si>
    <t>(Tudo)</t>
  </si>
  <si>
    <t>Dashboard de Vendas - Xbox</t>
  </si>
  <si>
    <t>FATURAMENTO</t>
  </si>
  <si>
    <t>QTD VENDAS</t>
  </si>
  <si>
    <t>TICKET MÉDIO</t>
  </si>
  <si>
    <t>Periodicidade</t>
  </si>
  <si>
    <t>Anual</t>
  </si>
  <si>
    <t xml:space="preserve">Mensal </t>
  </si>
  <si>
    <t>Quadrimestral</t>
  </si>
  <si>
    <t>Mensal</t>
  </si>
  <si>
    <t xml:space="preserve">Anual </t>
  </si>
  <si>
    <t>Tipo de Game Pass</t>
  </si>
  <si>
    <t>Subcrição? Sim/Não</t>
  </si>
  <si>
    <t>EA Play</t>
  </si>
  <si>
    <t>Minecraft</t>
  </si>
  <si>
    <t>Xbox Game Pass Core</t>
  </si>
  <si>
    <t>Xbox Game Pass Ultimate</t>
  </si>
  <si>
    <t xml:space="preserve">Sim </t>
  </si>
  <si>
    <t>Sim</t>
  </si>
  <si>
    <t>Não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</si>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</sst>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BAE5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164" fontId="0" fillId="0" borderId="0" xfId="0" applyNumberFormat="1" applyAlignment="1">
      <alignment horizontal="left" indent="1"/>
    </xf>
    <xf numFmtId="0" fontId="2" fillId="0" borderId="0" xfId="0" applyFont="1"/>
    <xf numFmtId="0" fontId="0" fillId="0" borderId="0" xfId="0" applyAlignment="1">
      <alignment horizontal="left" indent="1"/>
    </xf>
    <xf numFmtId="44" fontId="0" fillId="0" borderId="0" xfId="1" applyFont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top"/>
    </xf>
    <xf numFmtId="44" fontId="0" fillId="0" borderId="0" xfId="0" applyNumberFormat="1"/>
  </cellXfs>
  <cellStyles count="2">
    <cellStyle name="Moeda" xfId="1" builtinId="4"/>
    <cellStyle name="Normal" xfId="0" builtinId="0"/>
  </cellStyles>
  <dxfs count="22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yyyy\-mm\-dd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9" defaultPivotStyle="PivotStyleLight16">
    <tableStyle name="SlicerStyleLight6 2" pivot="0" table="0" count="10" xr9:uid="{3169C573-188B-47D3-B129-392A2CD108A7}">
      <tableStyleElement type="wholeTable" dxfId="21"/>
      <tableStyleElement type="headerRow" dxfId="20"/>
    </tableStyle>
  </tableStyles>
  <colors>
    <mruColors>
      <color rgb="FF3BAE57"/>
      <color rgb="FFF2F2F2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[Dashboard_Excel_Desafio_FINAL_PROFISSIONAL (1).xlsx]Cálculos1!Tabela dinâmica2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Cálculos1!$B$25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Cálculos1!$A$26:$A$27</c:f>
              <c:strCache>
                <c:ptCount val="1"/>
                <c:pt idx="0">
                  <c:v>EA Play</c:v>
                </c:pt>
              </c:strCache>
            </c:strRef>
          </c:cat>
          <c:val>
            <c:numRef>
              <c:f>Cálculos1!$B$26:$B$27</c:f>
              <c:numCache>
                <c:formatCode>_("R$"* #,##0.00_);_("R$"* \(#,##0.00\);_("R$"* "-"??_);_(@_)</c:formatCode>
                <c:ptCount val="1"/>
                <c:pt idx="0">
                  <c:v>121607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9-43DF-B565-8DB994D5A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6951248"/>
        <c:axId val="506951664"/>
      </c:barChart>
      <c:catAx>
        <c:axId val="50695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6951664"/>
        <c:crosses val="autoZero"/>
        <c:auto val="1"/>
        <c:lblAlgn val="ctr"/>
        <c:lblOffset val="100"/>
        <c:noMultiLvlLbl val="0"/>
      </c:catAx>
      <c:valAx>
        <c:axId val="50695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695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[Dashboard_Excel_Desafio_FINAL_PROFISSIONAL (1).xlsx]Cálculos1!Tabela dinâmica1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FATURAMENTO</a:t>
            </a:r>
            <a:r>
              <a:rPr lang="en-US" b="1" baseline="0"/>
              <a:t> POR PRODUTO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Cálculos1!$A$4:$A$22</c:f>
              <c:multiLvlStrCache>
                <c:ptCount val="15"/>
                <c:lvl>
                  <c:pt idx="0">
                    <c:v>Controle Xbox</c:v>
                  </c:pt>
                  <c:pt idx="1">
                    <c:v>Game Pass</c:v>
                  </c:pt>
                  <c:pt idx="2">
                    <c:v>Headset Gamer</c:v>
                  </c:pt>
                  <c:pt idx="3">
                    <c:v>Xbox Series S</c:v>
                  </c:pt>
                  <c:pt idx="4">
                    <c:v>Xbox Series X</c:v>
                  </c:pt>
                  <c:pt idx="5">
                    <c:v>Controle Xbox</c:v>
                  </c:pt>
                  <c:pt idx="6">
                    <c:v>Game Pass</c:v>
                  </c:pt>
                  <c:pt idx="7">
                    <c:v>Headset Gamer</c:v>
                  </c:pt>
                  <c:pt idx="8">
                    <c:v>Xbox Series S</c:v>
                  </c:pt>
                  <c:pt idx="9">
                    <c:v>Xbox Series X</c:v>
                  </c:pt>
                  <c:pt idx="10">
                    <c:v>Controle Xbox</c:v>
                  </c:pt>
                  <c:pt idx="11">
                    <c:v>Game Pass</c:v>
                  </c:pt>
                  <c:pt idx="12">
                    <c:v>Headset Gamer</c:v>
                  </c:pt>
                  <c:pt idx="13">
                    <c:v>Xbox Series S</c:v>
                  </c:pt>
                  <c:pt idx="14">
                    <c:v>Xbox Series X</c:v>
                  </c:pt>
                </c:lvl>
                <c:lvl>
                  <c:pt idx="0">
                    <c:v>Anual </c:v>
                  </c:pt>
                  <c:pt idx="5">
                    <c:v>Mensal</c:v>
                  </c:pt>
                  <c:pt idx="10">
                    <c:v>Quadrimestral</c:v>
                  </c:pt>
                </c:lvl>
              </c:multiLvlStrCache>
            </c:multiLvlStrRef>
          </c:cat>
          <c:val>
            <c:numRef>
              <c:f>Cálculos1!$B$4:$B$22</c:f>
              <c:numCache>
                <c:formatCode>_("R$"* #,##0.00_);_("R$"* \(#,##0.00\);_("R$"* "-"??_);_(@_)</c:formatCode>
                <c:ptCount val="15"/>
                <c:pt idx="0">
                  <c:v>35207</c:v>
                </c:pt>
                <c:pt idx="1">
                  <c:v>32567</c:v>
                </c:pt>
                <c:pt idx="2">
                  <c:v>60208</c:v>
                </c:pt>
                <c:pt idx="3">
                  <c:v>12867</c:v>
                </c:pt>
                <c:pt idx="4">
                  <c:v>26969</c:v>
                </c:pt>
                <c:pt idx="5">
                  <c:v>30010</c:v>
                </c:pt>
                <c:pt idx="6">
                  <c:v>54836</c:v>
                </c:pt>
                <c:pt idx="7">
                  <c:v>6079</c:v>
                </c:pt>
                <c:pt idx="8">
                  <c:v>13470</c:v>
                </c:pt>
                <c:pt idx="9">
                  <c:v>59441</c:v>
                </c:pt>
                <c:pt idx="10">
                  <c:v>24603</c:v>
                </c:pt>
                <c:pt idx="11">
                  <c:v>39862</c:v>
                </c:pt>
                <c:pt idx="12">
                  <c:v>32810</c:v>
                </c:pt>
                <c:pt idx="13">
                  <c:v>9536</c:v>
                </c:pt>
                <c:pt idx="14">
                  <c:v>16778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0-4AF0-AB6B-33EEC8168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2691967"/>
        <c:axId val="1902692799"/>
      </c:barChart>
      <c:catAx>
        <c:axId val="190269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2692799"/>
        <c:crosses val="autoZero"/>
        <c:auto val="1"/>
        <c:lblAlgn val="ctr"/>
        <c:lblOffset val="100"/>
        <c:noMultiLvlLbl val="0"/>
      </c:catAx>
      <c:valAx>
        <c:axId val="190269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269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[Dashboard_Excel_Desafio_FINAL_PROFISSIONAL (1).xlsx]Cálculos!Tabela dinâmica2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DISTRIBUIÇÃO</a:t>
            </a:r>
            <a:r>
              <a:rPr lang="en-US" b="1" baseline="0"/>
              <a:t> REGIONAL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Cálculos!$B$3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53-4A64-9695-95C25258A0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53-4A64-9695-95C25258A0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53-4A64-9695-95C25258A0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53-4A64-9695-95C25258A0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53-4A64-9695-95C25258A02E}"/>
              </c:ext>
            </c:extLst>
          </c:dPt>
          <c:cat>
            <c:strRef>
              <c:f>Cálculos!$A$4:$A$9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Cálculos!$B$4:$B$9</c:f>
              <c:numCache>
                <c:formatCode>General</c:formatCode>
                <c:ptCount val="5"/>
                <c:pt idx="0">
                  <c:v>100434</c:v>
                </c:pt>
                <c:pt idx="1">
                  <c:v>97877</c:v>
                </c:pt>
                <c:pt idx="2">
                  <c:v>80129</c:v>
                </c:pt>
                <c:pt idx="3">
                  <c:v>127989</c:v>
                </c:pt>
                <c:pt idx="4">
                  <c:v>48814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53-4A64-9695-95C25258A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[Dashboard_Excel_Desafio_FINAL_PROFISSIONAL (1).xlsx]Cálculos!Tabela dinâmica3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EVOLUÇÃO</a:t>
            </a:r>
            <a:r>
              <a:rPr lang="en-US" b="1" baseline="0"/>
              <a:t> MENSAL DE VENDAS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Cálculos!$B$12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Cálculos!$A$13:$A$26</c:f>
              <c:multiLvlStrCache>
                <c:ptCount val="12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Cálculos!$B$13:$B$26</c:f>
              <c:numCache>
                <c:formatCode>General</c:formatCode>
                <c:ptCount val="12"/>
                <c:pt idx="0">
                  <c:v>26308</c:v>
                </c:pt>
                <c:pt idx="1">
                  <c:v>15278</c:v>
                </c:pt>
                <c:pt idx="2">
                  <c:v>42786</c:v>
                </c:pt>
                <c:pt idx="3">
                  <c:v>53352</c:v>
                </c:pt>
                <c:pt idx="4">
                  <c:v>75325</c:v>
                </c:pt>
                <c:pt idx="5">
                  <c:v>67629</c:v>
                </c:pt>
                <c:pt idx="6">
                  <c:v>11118</c:v>
                </c:pt>
                <c:pt idx="7">
                  <c:v>31023</c:v>
                </c:pt>
                <c:pt idx="8">
                  <c:v>22817</c:v>
                </c:pt>
                <c:pt idx="9">
                  <c:v>37651</c:v>
                </c:pt>
                <c:pt idx="10">
                  <c:v>22468</c:v>
                </c:pt>
                <c:pt idx="11">
                  <c:v>49488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05-4FCD-8108-4F1B38D95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925247"/>
        <c:axId val="345927743"/>
      </c:lineChart>
      <c:catAx>
        <c:axId val="34592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5927743"/>
        <c:crosses val="autoZero"/>
        <c:auto val="1"/>
        <c:lblAlgn val="ctr"/>
        <c:lblOffset val="100"/>
        <c:noMultiLvlLbl val="0"/>
      </c:catAx>
      <c:valAx>
        <c:axId val="34592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592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[Dashboard_Excel_Desafio_FINAL_PROFISSIONAL (1).xlsx]Cálculos1!Tabela dinâmica6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800" b="1">
                <a:solidFill>
                  <a:schemeClr val="bg1"/>
                </a:solidFill>
                <a:effectLst/>
              </a:rPr>
              <a:t>TOTAL SUBSCRIPTIONS XBOX</a:t>
            </a:r>
            <a:r>
              <a:rPr lang="pt-BR" sz="1800" b="1" baseline="0">
                <a:solidFill>
                  <a:schemeClr val="bg1"/>
                </a:solidFill>
                <a:effectLst/>
              </a:rPr>
              <a:t> GAME PASS</a:t>
            </a:r>
            <a:endParaRPr lang="pt-BR">
              <a:solidFill>
                <a:schemeClr val="bg1"/>
              </a:solidFill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1349573690621196"/>
          <c:y val="2.4464831804281346E-2"/>
        </c:manualLayout>
      </c:layout>
      <c:overlay val="0"/>
      <c:spPr>
        <a:solidFill>
          <a:srgbClr val="3BAE57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BAE5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rgbClr val="3BAE57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Cálculos1!$B$33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BAE5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3BAE57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Cálculos1!$A$34:$A$36</c:f>
              <c:strCache>
                <c:ptCount val="2"/>
                <c:pt idx="0">
                  <c:v>Não</c:v>
                </c:pt>
                <c:pt idx="1">
                  <c:v>Sim </c:v>
                </c:pt>
              </c:strCache>
            </c:strRef>
          </c:cat>
          <c:val>
            <c:numRef>
              <c:f>Cálculos1!$B$34:$B$36</c:f>
              <c:numCache>
                <c:formatCode>_("R$"* #,##0.00_);_("R$"* \(#,##0.00\);_("R$"* "-"??_);_(@_)</c:formatCode>
                <c:ptCount val="2"/>
                <c:pt idx="0">
                  <c:v>86865</c:v>
                </c:pt>
                <c:pt idx="1">
                  <c:v>368378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A-47BD-812E-04B08ECDE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3454304"/>
        <c:axId val="2123455552"/>
      </c:barChart>
      <c:catAx>
        <c:axId val="212345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3455552"/>
        <c:crosses val="autoZero"/>
        <c:auto val="1"/>
        <c:lblAlgn val="ctr"/>
        <c:lblOffset val="100"/>
        <c:noMultiLvlLbl val="0"/>
      </c:catAx>
      <c:valAx>
        <c:axId val="21234555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2345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4.xml"/><Relationship Id="rId7" Type="http://schemas.openxmlformats.org/officeDocument/2006/relationships/image" Target="../media/image4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image" Target="../media/image3.emf"/><Relationship Id="rId11" Type="http://schemas.openxmlformats.org/officeDocument/2006/relationships/chart" Target="../charts/chart5.xml"/><Relationship Id="rId5" Type="http://schemas.openxmlformats.org/officeDocument/2006/relationships/image" Target="../media/image2.png"/><Relationship Id="rId10" Type="http://schemas.openxmlformats.org/officeDocument/2006/relationships/image" Target="../media/image7.svg"/><Relationship Id="rId4" Type="http://schemas.openxmlformats.org/officeDocument/2006/relationships/image" Target="../media/image1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11</xdr:row>
      <xdr:rowOff>91440</xdr:rowOff>
    </xdr:from>
    <xdr:to>
      <xdr:col>5</xdr:col>
      <xdr:colOff>495300</xdr:colOff>
      <xdr:row>24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eriodicidade">
              <a:extLst>
                <a:ext uri="{FF2B5EF4-FFF2-40B4-BE49-F238E27FC236}">
                  <a16:creationId xmlns:a16="http://schemas.microsoft.com/office/drawing/2014/main" id="{BB1830CE-48C9-43E9-A615-F8C7D598D6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ic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18460" y="21031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</xdr:col>
      <xdr:colOff>297180</xdr:colOff>
      <xdr:row>0</xdr:row>
      <xdr:rowOff>160020</xdr:rowOff>
    </xdr:from>
    <xdr:to>
      <xdr:col>15</xdr:col>
      <xdr:colOff>38100</xdr:colOff>
      <xdr:row>5</xdr:row>
      <xdr:rowOff>137160</xdr:rowOff>
    </xdr:to>
    <xdr:sp macro="" textlink="$I$3">
      <xdr:nvSpPr>
        <xdr:cNvPr id="4" name="CaixaDeTexto 3">
          <a:extLst>
            <a:ext uri="{FF2B5EF4-FFF2-40B4-BE49-F238E27FC236}">
              <a16:creationId xmlns:a16="http://schemas.microsoft.com/office/drawing/2014/main" id="{0C88B128-E89C-43DE-99A2-0413FE0E3F02}"/>
            </a:ext>
          </a:extLst>
        </xdr:cNvPr>
        <xdr:cNvSpPr txBox="1"/>
      </xdr:nvSpPr>
      <xdr:spPr>
        <a:xfrm>
          <a:off x="7338060" y="160020"/>
          <a:ext cx="3398520" cy="891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BEE4493-76D0-43FE-9B12-38212AB9E444}" type="TxLink">
            <a:rPr lang="en-US" sz="3600" b="0" i="0" u="none" strike="noStrike">
              <a:solidFill>
                <a:srgbClr val="3BAE57"/>
              </a:solidFill>
              <a:latin typeface="Calibri"/>
              <a:ea typeface="Calibri"/>
              <a:cs typeface="Calibri"/>
            </a:rPr>
            <a:pPr algn="ctr"/>
            <a:t> R$ 121.607,00 </a:t>
          </a:fld>
          <a:endParaRPr lang="pt-BR" sz="3600">
            <a:solidFill>
              <a:srgbClr val="3BAE57"/>
            </a:solidFill>
          </a:endParaRPr>
        </a:p>
      </xdr:txBody>
    </xdr:sp>
    <xdr:clientData/>
  </xdr:twoCellAnchor>
  <xdr:twoCellAnchor>
    <xdr:from>
      <xdr:col>9</xdr:col>
      <xdr:colOff>419100</xdr:colOff>
      <xdr:row>6</xdr:row>
      <xdr:rowOff>175260</xdr:rowOff>
    </xdr:from>
    <xdr:to>
      <xdr:col>15</xdr:col>
      <xdr:colOff>160020</xdr:colOff>
      <xdr:row>11</xdr:row>
      <xdr:rowOff>152400</xdr:rowOff>
    </xdr:to>
    <xdr:sp macro="" textlink="$I$4">
      <xdr:nvSpPr>
        <xdr:cNvPr id="5" name="CaixaDeTexto 4">
          <a:extLst>
            <a:ext uri="{FF2B5EF4-FFF2-40B4-BE49-F238E27FC236}">
              <a16:creationId xmlns:a16="http://schemas.microsoft.com/office/drawing/2014/main" id="{B1006C38-FC57-4B63-BF0D-F70C518FCF24}"/>
            </a:ext>
          </a:extLst>
        </xdr:cNvPr>
        <xdr:cNvSpPr txBox="1"/>
      </xdr:nvSpPr>
      <xdr:spPr>
        <a:xfrm>
          <a:off x="7459980" y="1272540"/>
          <a:ext cx="3398520" cy="891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75DF1BE-2679-4F30-8DD1-813A47FBFC0A}" type="TxLink">
            <a:rPr lang="en-US" sz="3600" b="0" i="0" u="none" strike="noStrike">
              <a:solidFill>
                <a:srgbClr val="3BAE57"/>
              </a:solidFill>
              <a:latin typeface="Calibri"/>
              <a:ea typeface="Calibri"/>
              <a:cs typeface="Calibri"/>
            </a:rPr>
            <a:pPr algn="ctr"/>
            <a:t> R$ 109.115,00 </a:t>
          </a:fld>
          <a:endParaRPr lang="pt-BR" sz="3600" b="0">
            <a:solidFill>
              <a:srgbClr val="3BAE57"/>
            </a:solidFill>
          </a:endParaRPr>
        </a:p>
      </xdr:txBody>
    </xdr:sp>
    <xdr:clientData/>
  </xdr:twoCellAnchor>
  <xdr:twoCellAnchor>
    <xdr:from>
      <xdr:col>9</xdr:col>
      <xdr:colOff>388620</xdr:colOff>
      <xdr:row>13</xdr:row>
      <xdr:rowOff>60960</xdr:rowOff>
    </xdr:from>
    <xdr:to>
      <xdr:col>15</xdr:col>
      <xdr:colOff>129540</xdr:colOff>
      <xdr:row>18</xdr:row>
      <xdr:rowOff>38100</xdr:rowOff>
    </xdr:to>
    <xdr:sp macro="" textlink="$I$6">
      <xdr:nvSpPr>
        <xdr:cNvPr id="6" name="CaixaDeTexto 5">
          <a:extLst>
            <a:ext uri="{FF2B5EF4-FFF2-40B4-BE49-F238E27FC236}">
              <a16:creationId xmlns:a16="http://schemas.microsoft.com/office/drawing/2014/main" id="{6A508735-61B1-49D9-AE1A-CAD54B193132}"/>
            </a:ext>
          </a:extLst>
        </xdr:cNvPr>
        <xdr:cNvSpPr txBox="1"/>
      </xdr:nvSpPr>
      <xdr:spPr>
        <a:xfrm>
          <a:off x="7429500" y="2438400"/>
          <a:ext cx="3398520" cy="891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FF10361-5F4D-4721-820F-0334C3C68F9D}" type="TxLink">
            <a:rPr lang="en-US" sz="3600" b="0" i="0" u="none" strike="noStrike">
              <a:solidFill>
                <a:srgbClr val="3BAE57"/>
              </a:solidFill>
              <a:latin typeface="Calibri"/>
              <a:ea typeface="Calibri"/>
              <a:cs typeface="Calibri"/>
            </a:rPr>
            <a:pPr algn="ctr"/>
            <a:t> R$ 86.865,00 </a:t>
          </a:fld>
          <a:endParaRPr lang="pt-BR" sz="3600">
            <a:solidFill>
              <a:srgbClr val="3BAE57"/>
            </a:solidFill>
          </a:endParaRPr>
        </a:p>
      </xdr:txBody>
    </xdr:sp>
    <xdr:clientData/>
  </xdr:twoCellAnchor>
  <xdr:twoCellAnchor>
    <xdr:from>
      <xdr:col>9</xdr:col>
      <xdr:colOff>594360</xdr:colOff>
      <xdr:row>20</xdr:row>
      <xdr:rowOff>60960</xdr:rowOff>
    </xdr:from>
    <xdr:to>
      <xdr:col>15</xdr:col>
      <xdr:colOff>335280</xdr:colOff>
      <xdr:row>25</xdr:row>
      <xdr:rowOff>38100</xdr:rowOff>
    </xdr:to>
    <xdr:sp macro="" textlink="$I$7">
      <xdr:nvSpPr>
        <xdr:cNvPr id="7" name="CaixaDeTexto 6">
          <a:extLst>
            <a:ext uri="{FF2B5EF4-FFF2-40B4-BE49-F238E27FC236}">
              <a16:creationId xmlns:a16="http://schemas.microsoft.com/office/drawing/2014/main" id="{0F3C29AA-16AF-42DA-9EAB-F6DED157C87F}"/>
            </a:ext>
          </a:extLst>
        </xdr:cNvPr>
        <xdr:cNvSpPr txBox="1"/>
      </xdr:nvSpPr>
      <xdr:spPr>
        <a:xfrm>
          <a:off x="7635240" y="3718560"/>
          <a:ext cx="3398520" cy="891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C1F939A-1901-4E33-BDC8-93ADF5F0E280}" type="TxLink">
            <a:rPr lang="en-US" sz="3600" b="0" i="0" u="none" strike="noStrike">
              <a:solidFill>
                <a:srgbClr val="3BAE57"/>
              </a:solidFill>
              <a:latin typeface="Calibri"/>
              <a:ea typeface="Calibri"/>
              <a:cs typeface="Calibri"/>
            </a:rPr>
            <a:pPr algn="ctr"/>
            <a:t> R$ 368.378,00 </a:t>
          </a:fld>
          <a:endParaRPr lang="pt-BR" sz="3600">
            <a:solidFill>
              <a:srgbClr val="3BAE57"/>
            </a:solidFill>
          </a:endParaRPr>
        </a:p>
      </xdr:txBody>
    </xdr:sp>
    <xdr:clientData/>
  </xdr:twoCellAnchor>
  <xdr:twoCellAnchor>
    <xdr:from>
      <xdr:col>3</xdr:col>
      <xdr:colOff>220980</xdr:colOff>
      <xdr:row>19</xdr:row>
      <xdr:rowOff>171450</xdr:rowOff>
    </xdr:from>
    <xdr:to>
      <xdr:col>10</xdr:col>
      <xdr:colOff>175260</xdr:colOff>
      <xdr:row>34</xdr:row>
      <xdr:rowOff>171450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1D880D8-DE5A-44A0-B04D-5A8EAEBE8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480060</xdr:colOff>
      <xdr:row>0</xdr:row>
      <xdr:rowOff>0</xdr:rowOff>
    </xdr:from>
    <xdr:to>
      <xdr:col>4</xdr:col>
      <xdr:colOff>670560</xdr:colOff>
      <xdr:row>13</xdr:row>
      <xdr:rowOff>89535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duto">
              <a:extLst>
                <a:ext uri="{FF2B5EF4-FFF2-40B4-BE49-F238E27FC236}">
                  <a16:creationId xmlns:a16="http://schemas.microsoft.com/office/drawing/2014/main" id="{1C43F346-6488-4A24-A1F4-83B1C0EE65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3220" y="1524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594360</xdr:colOff>
      <xdr:row>0</xdr:row>
      <xdr:rowOff>0</xdr:rowOff>
    </xdr:from>
    <xdr:to>
      <xdr:col>8</xdr:col>
      <xdr:colOff>297180</xdr:colOff>
      <xdr:row>13</xdr:row>
      <xdr:rowOff>89535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ão">
              <a:extLst>
                <a:ext uri="{FF2B5EF4-FFF2-40B4-BE49-F238E27FC236}">
                  <a16:creationId xmlns:a16="http://schemas.microsoft.com/office/drawing/2014/main" id="{4E7EEC5E-55EB-4BC5-BF42-EB6297DE9D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46320" y="2057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121920</xdr:colOff>
      <xdr:row>0</xdr:row>
      <xdr:rowOff>0</xdr:rowOff>
    </xdr:from>
    <xdr:to>
      <xdr:col>14</xdr:col>
      <xdr:colOff>411480</xdr:colOff>
      <xdr:row>7</xdr:row>
      <xdr:rowOff>91440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Data">
              <a:extLst>
                <a:ext uri="{FF2B5EF4-FFF2-40B4-BE49-F238E27FC236}">
                  <a16:creationId xmlns:a16="http://schemas.microsoft.com/office/drawing/2014/main" id="{C2E00542-FF13-4821-B61A-E1C26E0965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2280" y="13716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0</xdr:row>
      <xdr:rowOff>38100</xdr:rowOff>
    </xdr:from>
    <xdr:to>
      <xdr:col>39</xdr:col>
      <xdr:colOff>241300</xdr:colOff>
      <xdr:row>47</xdr:row>
      <xdr:rowOff>38100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6FCB4D01-2832-4334-9EBA-CA2C71655957}"/>
            </a:ext>
          </a:extLst>
        </xdr:cNvPr>
        <xdr:cNvSpPr/>
      </xdr:nvSpPr>
      <xdr:spPr>
        <a:xfrm>
          <a:off x="88900" y="38100"/>
          <a:ext cx="23926800" cy="8470900"/>
        </a:xfrm>
        <a:prstGeom prst="rect">
          <a:avLst/>
        </a:prstGeom>
        <a:solidFill>
          <a:srgbClr val="F2F2F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154214</xdr:colOff>
      <xdr:row>20</xdr:row>
      <xdr:rowOff>134256</xdr:rowOff>
    </xdr:from>
    <xdr:to>
      <xdr:col>53</xdr:col>
      <xdr:colOff>78014</xdr:colOff>
      <xdr:row>35</xdr:row>
      <xdr:rowOff>25399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5D46964-B731-4982-8DD0-329BA94CB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168728</xdr:colOff>
      <xdr:row>36</xdr:row>
      <xdr:rowOff>56242</xdr:rowOff>
    </xdr:from>
    <xdr:to>
      <xdr:col>53</xdr:col>
      <xdr:colOff>38100</xdr:colOff>
      <xdr:row>50</xdr:row>
      <xdr:rowOff>132442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F3BCAEF-67FE-4EF4-AFD4-DB41F3CEE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263072</xdr:colOff>
      <xdr:row>36</xdr:row>
      <xdr:rowOff>32656</xdr:rowOff>
    </xdr:from>
    <xdr:to>
      <xdr:col>61</xdr:col>
      <xdr:colOff>154214</xdr:colOff>
      <xdr:row>51</xdr:row>
      <xdr:rowOff>7256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24E17BA-145A-4EF9-BBE4-2A00251BC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45</xdr:col>
      <xdr:colOff>101600</xdr:colOff>
      <xdr:row>6</xdr:row>
      <xdr:rowOff>60960</xdr:rowOff>
    </xdr:from>
    <xdr:to>
      <xdr:col>48</xdr:col>
      <xdr:colOff>604250</xdr:colOff>
      <xdr:row>20</xdr:row>
      <xdr:rowOff>38735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duto 1">
              <a:extLst>
                <a:ext uri="{FF2B5EF4-FFF2-40B4-BE49-F238E27FC236}">
                  <a16:creationId xmlns:a16="http://schemas.microsoft.com/office/drawing/2014/main" id="{3C10B71B-EE48-43F2-AE76-7665E058D6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600" y="1242060"/>
              <a:ext cx="233145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50</xdr:col>
      <xdr:colOff>143510</xdr:colOff>
      <xdr:row>6</xdr:row>
      <xdr:rowOff>58420</xdr:rowOff>
    </xdr:from>
    <xdr:to>
      <xdr:col>54</xdr:col>
      <xdr:colOff>36560</xdr:colOff>
      <xdr:row>20</xdr:row>
      <xdr:rowOff>36195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ão 1">
              <a:extLst>
                <a:ext uri="{FF2B5EF4-FFF2-40B4-BE49-F238E27FC236}">
                  <a16:creationId xmlns:a16="http://schemas.microsoft.com/office/drawing/2014/main" id="{35ABF3B4-0474-4065-B4E2-1C7FF56A59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1510" y="1239520"/>
              <a:ext cx="233145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53</xdr:col>
      <xdr:colOff>241300</xdr:colOff>
      <xdr:row>27</xdr:row>
      <xdr:rowOff>25400</xdr:rowOff>
    </xdr:from>
    <xdr:to>
      <xdr:col>61</xdr:col>
      <xdr:colOff>241300</xdr:colOff>
      <xdr:row>34</xdr:row>
      <xdr:rowOff>165100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Data 1">
              <a:extLst>
                <a:ext uri="{FF2B5EF4-FFF2-40B4-BE49-F238E27FC236}">
                  <a16:creationId xmlns:a16="http://schemas.microsoft.com/office/drawing/2014/main" id="{B8F26428-D98C-4EDE-9D18-195849BACF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8100" y="4940300"/>
              <a:ext cx="4876800" cy="138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0</xdr:col>
      <xdr:colOff>63500</xdr:colOff>
      <xdr:row>0</xdr:row>
      <xdr:rowOff>0</xdr:rowOff>
    </xdr:from>
    <xdr:to>
      <xdr:col>6</xdr:col>
      <xdr:colOff>76200</xdr:colOff>
      <xdr:row>46</xdr:row>
      <xdr:rowOff>165100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CBC1B825-4906-456E-B0A5-5FF690D0D7C8}"/>
            </a:ext>
          </a:extLst>
        </xdr:cNvPr>
        <xdr:cNvSpPr/>
      </xdr:nvSpPr>
      <xdr:spPr>
        <a:xfrm>
          <a:off x="63500" y="0"/>
          <a:ext cx="3670300" cy="8458200"/>
        </a:xfrm>
        <a:prstGeom prst="rect">
          <a:avLst/>
        </a:prstGeom>
        <a:solidFill>
          <a:srgbClr val="3BAE5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76200</xdr:colOff>
      <xdr:row>0</xdr:row>
      <xdr:rowOff>177800</xdr:rowOff>
    </xdr:from>
    <xdr:to>
      <xdr:col>3</xdr:col>
      <xdr:colOff>187779</xdr:colOff>
      <xdr:row>4</xdr:row>
      <xdr:rowOff>59328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03585140-FAAB-48F9-8D72-836CAEC31CA9}"/>
            </a:ext>
          </a:extLst>
        </xdr:cNvPr>
        <xdr:cNvSpPr/>
      </xdr:nvSpPr>
      <xdr:spPr>
        <a:xfrm>
          <a:off x="1295400" y="177800"/>
          <a:ext cx="721179" cy="707028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254000</xdr:colOff>
      <xdr:row>5</xdr:row>
      <xdr:rowOff>114300</xdr:rowOff>
    </xdr:from>
    <xdr:to>
      <xdr:col>4</xdr:col>
      <xdr:colOff>3629</xdr:colOff>
      <xdr:row>6</xdr:row>
      <xdr:rowOff>162090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1E11EEEC-B737-4C95-8E4F-E5AB1E44735F}"/>
            </a:ext>
          </a:extLst>
        </xdr:cNvPr>
        <xdr:cNvSpPr/>
      </xdr:nvSpPr>
      <xdr:spPr>
        <a:xfrm>
          <a:off x="863600" y="1117600"/>
          <a:ext cx="1578429" cy="225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/>
            <a:t>BEM</a:t>
          </a:r>
          <a:r>
            <a:rPr lang="pt-BR" sz="1100" b="1" kern="1200" baseline="0"/>
            <a:t> VINDO(A)</a:t>
          </a:r>
          <a:endParaRPr lang="pt-BR" sz="1100" b="1" kern="1200"/>
        </a:p>
      </xdr:txBody>
    </xdr:sp>
    <xdr:clientData/>
  </xdr:twoCellAnchor>
  <xdr:twoCellAnchor editAs="absolute">
    <xdr:from>
      <xdr:col>6</xdr:col>
      <xdr:colOff>292100</xdr:colOff>
      <xdr:row>0</xdr:row>
      <xdr:rowOff>215900</xdr:rowOff>
    </xdr:from>
    <xdr:to>
      <xdr:col>7</xdr:col>
      <xdr:colOff>393850</xdr:colOff>
      <xdr:row>4</xdr:row>
      <xdr:rowOff>163352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91711E68-2CDA-4FD0-B88F-2D9B8B0E2E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3949700" y="215900"/>
          <a:ext cx="711350" cy="772952"/>
        </a:xfrm>
        <a:prstGeom prst="rect">
          <a:avLst/>
        </a:prstGeom>
      </xdr:spPr>
    </xdr:pic>
    <xdr:clientData/>
  </xdr:twoCellAnchor>
  <xdr:twoCellAnchor editAs="oneCell">
    <xdr:from>
      <xdr:col>7</xdr:col>
      <xdr:colOff>393700</xdr:colOff>
      <xdr:row>1</xdr:row>
      <xdr:rowOff>165100</xdr:rowOff>
    </xdr:from>
    <xdr:to>
      <xdr:col>14</xdr:col>
      <xdr:colOff>157480</xdr:colOff>
      <xdr:row>3</xdr:row>
      <xdr:rowOff>162560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1CBFDC4C-E63D-4A54-A212-6EB63A03C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0900" y="457200"/>
          <a:ext cx="4030980" cy="35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6</xdr:col>
      <xdr:colOff>304800</xdr:colOff>
      <xdr:row>5</xdr:row>
      <xdr:rowOff>127000</xdr:rowOff>
    </xdr:from>
    <xdr:to>
      <xdr:col>14</xdr:col>
      <xdr:colOff>526733</xdr:colOff>
      <xdr:row>14</xdr:row>
      <xdr:rowOff>168434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38914064-9EE7-4AE7-93D1-37EC22478A67}"/>
            </a:ext>
          </a:extLst>
        </xdr:cNvPr>
        <xdr:cNvGrpSpPr/>
      </xdr:nvGrpSpPr>
      <xdr:grpSpPr>
        <a:xfrm>
          <a:off x="3962400" y="1161143"/>
          <a:ext cx="5098733" cy="1706948"/>
          <a:chOff x="2095500" y="1143000"/>
          <a:chExt cx="4655344" cy="1647825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25F0BC55-977B-4FE2-B5DA-8A3416CF6514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672A61AA-5942-4627-9DAA-F502C6B023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18BA97DF-8664-4054-B370-DE376EBF8038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3BAE5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 editAs="absolute">
    <xdr:from>
      <xdr:col>15</xdr:col>
      <xdr:colOff>406400</xdr:colOff>
      <xdr:row>5</xdr:row>
      <xdr:rowOff>139700</xdr:rowOff>
    </xdr:from>
    <xdr:to>
      <xdr:col>24</xdr:col>
      <xdr:colOff>18733</xdr:colOff>
      <xdr:row>14</xdr:row>
      <xdr:rowOff>105220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DB9219FC-E206-4A89-89C0-CD0057BDB1A5}"/>
            </a:ext>
          </a:extLst>
        </xdr:cNvPr>
        <xdr:cNvGrpSpPr/>
      </xdr:nvGrpSpPr>
      <xdr:grpSpPr>
        <a:xfrm>
          <a:off x="9550400" y="1173843"/>
          <a:ext cx="5098733" cy="1631034"/>
          <a:chOff x="2095500" y="1143000"/>
          <a:chExt cx="4655344" cy="1571625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10822666-01BC-4170-B3C8-16331CE5AEDB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álculos1!$O$9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5DA1EF31-2B7D-4638-9A9F-FA3D3EAA5177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B890D15-52B8-49B8-9F68-3FB995D60E46}" type="TxLink">
              <a:rPr lang="en-US" sz="1100" b="0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C8CA3308-057D-4D63-ACBC-A7E617095870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3BAE5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16</xdr:col>
      <xdr:colOff>463542</xdr:colOff>
      <xdr:row>9</xdr:row>
      <xdr:rowOff>63500</xdr:rowOff>
    </xdr:from>
    <xdr:to>
      <xdr:col>17</xdr:col>
      <xdr:colOff>284573</xdr:colOff>
      <xdr:row>12</xdr:row>
      <xdr:rowOff>870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CF124D0D-E85C-438F-86D7-BA2039696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7142" y="1778000"/>
          <a:ext cx="430631" cy="470770"/>
        </a:xfrm>
        <a:prstGeom prst="rect">
          <a:avLst/>
        </a:prstGeom>
      </xdr:spPr>
    </xdr:pic>
    <xdr:clientData/>
  </xdr:twoCellAnchor>
  <xdr:twoCellAnchor>
    <xdr:from>
      <xdr:col>16</xdr:col>
      <xdr:colOff>50800</xdr:colOff>
      <xdr:row>11</xdr:row>
      <xdr:rowOff>97992</xdr:rowOff>
    </xdr:from>
    <xdr:to>
      <xdr:col>18</xdr:col>
      <xdr:colOff>32780</xdr:colOff>
      <xdr:row>12</xdr:row>
      <xdr:rowOff>118828</xdr:rowOff>
    </xdr:to>
    <xdr:pic>
      <xdr:nvPicPr>
        <xdr:cNvPr id="30" name="Gráfico 29">
          <a:extLst>
            <a:ext uri="{FF2B5EF4-FFF2-40B4-BE49-F238E27FC236}">
              <a16:creationId xmlns:a16="http://schemas.microsoft.com/office/drawing/2014/main" id="{D290C5B9-E0AB-417A-A3F0-66BE19B29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804400" y="2168092"/>
          <a:ext cx="1201180" cy="19863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</xdr:row>
      <xdr:rowOff>165100</xdr:rowOff>
    </xdr:from>
    <xdr:to>
      <xdr:col>4</xdr:col>
      <xdr:colOff>76200</xdr:colOff>
      <xdr:row>21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Periodicidade 1">
              <a:extLst>
                <a:ext uri="{FF2B5EF4-FFF2-40B4-BE49-F238E27FC236}">
                  <a16:creationId xmlns:a16="http://schemas.microsoft.com/office/drawing/2014/main" id="{676F48BA-7A2D-4322-8898-15C7542880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icidad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0" y="15240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8</xdr:col>
      <xdr:colOff>596900</xdr:colOff>
      <xdr:row>8</xdr:row>
      <xdr:rowOff>127000</xdr:rowOff>
    </xdr:from>
    <xdr:to>
      <xdr:col>14</xdr:col>
      <xdr:colOff>337820</xdr:colOff>
      <xdr:row>13</xdr:row>
      <xdr:rowOff>129540</xdr:rowOff>
    </xdr:to>
    <xdr:sp macro="" textlink="Cálculos1!I3">
      <xdr:nvSpPr>
        <xdr:cNvPr id="38" name="CaixaDeTexto 37">
          <a:extLst>
            <a:ext uri="{FF2B5EF4-FFF2-40B4-BE49-F238E27FC236}">
              <a16:creationId xmlns:a16="http://schemas.microsoft.com/office/drawing/2014/main" id="{0701C53A-52F0-4201-A8E8-946744E12C62}"/>
            </a:ext>
          </a:extLst>
        </xdr:cNvPr>
        <xdr:cNvSpPr txBox="1"/>
      </xdr:nvSpPr>
      <xdr:spPr>
        <a:xfrm>
          <a:off x="5473700" y="1663700"/>
          <a:ext cx="3398520" cy="891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6534C5A-2CF2-43C6-8A6E-0CFF11509608}" type="TxLink">
            <a:rPr lang="en-US" sz="4000" b="0" i="0" u="none" strike="noStrike">
              <a:solidFill>
                <a:srgbClr val="3BAE57"/>
              </a:solidFill>
              <a:latin typeface="Calibri"/>
              <a:ea typeface="Calibri"/>
              <a:cs typeface="Calibri"/>
            </a:rPr>
            <a:t> R$ 121.607,00 </a:t>
          </a:fld>
          <a:endParaRPr lang="en-US" sz="4000">
            <a:solidFill>
              <a:srgbClr val="3BAE57"/>
            </a:solidFill>
          </a:endParaRPr>
        </a:p>
      </xdr:txBody>
    </xdr:sp>
    <xdr:clientData/>
  </xdr:twoCellAnchor>
  <xdr:twoCellAnchor>
    <xdr:from>
      <xdr:col>6</xdr:col>
      <xdr:colOff>330200</xdr:colOff>
      <xdr:row>17</xdr:row>
      <xdr:rowOff>114300</xdr:rowOff>
    </xdr:from>
    <xdr:to>
      <xdr:col>24</xdr:col>
      <xdr:colOff>10886</xdr:colOff>
      <xdr:row>41</xdr:row>
      <xdr:rowOff>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ECB243AB-43D2-4BD6-B723-901EC63AA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76200</xdr:colOff>
      <xdr:row>8</xdr:row>
      <xdr:rowOff>127000</xdr:rowOff>
    </xdr:from>
    <xdr:to>
      <xdr:col>23</xdr:col>
      <xdr:colOff>426720</xdr:colOff>
      <xdr:row>13</xdr:row>
      <xdr:rowOff>129540</xdr:rowOff>
    </xdr:to>
    <xdr:sp macro="" textlink="Cálculos1!I4">
      <xdr:nvSpPr>
        <xdr:cNvPr id="40" name="CaixaDeTexto 39">
          <a:extLst>
            <a:ext uri="{FF2B5EF4-FFF2-40B4-BE49-F238E27FC236}">
              <a16:creationId xmlns:a16="http://schemas.microsoft.com/office/drawing/2014/main" id="{0AA5C4DE-A64D-44A7-ABDF-7066AF319CAA}"/>
            </a:ext>
          </a:extLst>
        </xdr:cNvPr>
        <xdr:cNvSpPr txBox="1"/>
      </xdr:nvSpPr>
      <xdr:spPr>
        <a:xfrm>
          <a:off x="11049000" y="1663700"/>
          <a:ext cx="3398520" cy="891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D1349F4-BD22-4397-96F0-CA730A2414B4}" type="TxLink">
            <a:rPr lang="en-US" sz="4000" b="0" i="0" u="none" strike="noStrike">
              <a:solidFill>
                <a:srgbClr val="3BAE57"/>
              </a:solidFill>
              <a:latin typeface="Calibri"/>
              <a:ea typeface="Calibri"/>
              <a:cs typeface="Calibri"/>
            </a:rPr>
            <a:t> R$ 109.115,00 </a:t>
          </a:fld>
          <a:endParaRPr lang="en-US" sz="4000">
            <a:solidFill>
              <a:srgbClr val="3BAE57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37.74918402778" createdVersion="7" refreshedVersion="7" minRefreshableVersion="3" recordCount="180" xr:uid="{838C1429-51BD-485A-B2A3-5E6083D7D423}">
  <cacheSource type="worksheet">
    <worksheetSource name="Tabela1"/>
  </cacheSource>
  <cacheFields count="12">
    <cacheField name="Data" numFmtId="164">
      <sharedItems containsSemiMixedTypes="0" containsNonDate="0" containsDate="1" containsString="0" minDate="2024-01-02T00:00:00" maxDate="2024-12-29T00:00:00" count="145">
        <d v="2024-12-22T00:00:00"/>
        <d v="2024-05-12T00:00:00"/>
        <d v="2024-10-25T00:00:00"/>
        <d v="2024-10-01T00:00:00"/>
        <d v="2024-05-10T00:00:00"/>
        <d v="2024-02-08T00:00:00"/>
        <d v="2024-04-15T00:00:00"/>
        <d v="2024-05-01T00:00:00"/>
        <d v="2024-06-20T00:00:00"/>
        <d v="2024-03-21T00:00:00"/>
        <d v="2024-04-11T00:00:00"/>
        <d v="2024-09-27T00:00:00"/>
        <d v="2024-01-02T00:00:00"/>
        <d v="2024-12-24T00:00:00"/>
        <d v="2024-02-22T00:00:00"/>
        <d v="2024-10-24T00:00:00"/>
        <d v="2024-10-28T00:00:00"/>
        <d v="2024-10-11T00:00:00"/>
        <d v="2024-10-15T00:00:00"/>
        <d v="2024-01-13T00:00:00"/>
        <d v="2024-09-26T00:00:00"/>
        <d v="2024-07-21T00:00:00"/>
        <d v="2024-08-17T00:00:00"/>
        <d v="2024-06-02T00:00:00"/>
        <d v="2024-02-27T00:00:00"/>
        <d v="2024-11-03T00:00:00"/>
        <d v="2024-12-08T00:00:00"/>
        <d v="2024-04-05T00:00:00"/>
        <d v="2024-12-16T00:00:00"/>
        <d v="2024-04-26T00:00:00"/>
        <d v="2024-03-18T00:00:00"/>
        <d v="2024-05-14T00:00:00"/>
        <d v="2024-09-14T00:00:00"/>
        <d v="2024-06-06T00:00:00"/>
        <d v="2024-07-07T00:00:00"/>
        <d v="2024-10-19T00:00:00"/>
        <d v="2024-08-06T00:00:00"/>
        <d v="2024-08-24T00:00:00"/>
        <d v="2024-08-02T00:00:00"/>
        <d v="2024-03-14T00:00:00"/>
        <d v="2024-10-12T00:00:00"/>
        <d v="2024-11-06T00:00:00"/>
        <d v="2024-07-28T00:00:00"/>
        <d v="2024-03-04T00:00:00"/>
        <d v="2024-11-09T00:00:00"/>
        <d v="2024-11-18T00:00:00"/>
        <d v="2024-03-15T00:00:00"/>
        <d v="2024-06-08T00:00:00"/>
        <d v="2024-03-01T00:00:00"/>
        <d v="2024-12-26T00:00:00"/>
        <d v="2024-05-06T00:00:00"/>
        <d v="2024-09-01T00:00:00"/>
        <d v="2024-03-10T00:00:00"/>
        <d v="2024-09-06T00:00:00"/>
        <d v="2024-05-19T00:00:00"/>
        <d v="2024-01-22T00:00:00"/>
        <d v="2024-10-10T00:00:00"/>
        <d v="2024-12-18T00:00:00"/>
        <d v="2024-06-26T00:00:00"/>
        <d v="2024-04-03T00:00:00"/>
        <d v="2024-06-05T00:00:00"/>
        <d v="2024-12-02T00:00:00"/>
        <d v="2024-05-26T00:00:00"/>
        <d v="2024-02-05T00:00:00"/>
        <d v="2024-07-02T00:00:00"/>
        <d v="2024-01-10T00:00:00"/>
        <d v="2024-03-24T00:00:00"/>
        <d v="2024-09-04T00:00:00"/>
        <d v="2024-04-09T00:00:00"/>
        <d v="2024-01-23T00:00:00"/>
        <d v="2024-04-13T00:00:00"/>
        <d v="2024-08-03T00:00:00"/>
        <d v="2024-05-07T00:00:00"/>
        <d v="2024-03-26T00:00:00"/>
        <d v="2024-09-16T00:00:00"/>
        <d v="2024-06-17T00:00:00"/>
        <d v="2024-10-18T00:00:00"/>
        <d v="2024-01-07T00:00:00"/>
        <d v="2024-06-15T00:00:00"/>
        <d v="2024-11-12T00:00:00"/>
        <d v="2024-12-25T00:00:00"/>
        <d v="2024-06-14T00:00:00"/>
        <d v="2024-08-28T00:00:00"/>
        <d v="2024-08-18T00:00:00"/>
        <d v="2024-04-21T00:00:00"/>
        <d v="2024-02-15T00:00:00"/>
        <d v="2024-10-14T00:00:00"/>
        <d v="2024-06-23T00:00:00"/>
        <d v="2024-11-26T00:00:00"/>
        <d v="2024-05-28T00:00:00"/>
        <d v="2024-01-11T00:00:00"/>
        <d v="2024-06-25T00:00:00"/>
        <d v="2024-12-20T00:00:00"/>
        <d v="2024-01-04T00:00:00"/>
        <d v="2024-07-17T00:00:00"/>
        <d v="2024-04-12T00:00:00"/>
        <d v="2024-02-17T00:00:00"/>
        <d v="2024-12-19T00:00:00"/>
        <d v="2024-03-06T00:00:00"/>
        <d v="2024-11-27T00:00:00"/>
        <d v="2024-04-14T00:00:00"/>
        <d v="2024-12-10T00:00:00"/>
        <d v="2024-05-21T00:00:00"/>
        <d v="2024-04-25T00:00:00"/>
        <d v="2024-04-22T00:00:00"/>
        <d v="2024-09-08T00:00:00"/>
        <d v="2024-07-05T00:00:00"/>
        <d v="2024-05-25T00:00:00"/>
        <d v="2024-12-09T00:00:00"/>
        <d v="2024-06-10T00:00:00"/>
        <d v="2024-04-16T00:00:00"/>
        <d v="2024-02-25T00:00:00"/>
        <d v="2024-11-25T00:00:00"/>
        <d v="2024-02-07T00:00:00"/>
        <d v="2024-03-20T00:00:00"/>
        <d v="2024-03-13T00:00:00"/>
        <d v="2024-12-28T00:00:00"/>
        <d v="2024-12-01T00:00:00"/>
        <d v="2024-01-15T00:00:00"/>
        <d v="2024-10-06T00:00:00"/>
        <d v="2024-06-19T00:00:00"/>
        <d v="2024-06-03T00:00:00"/>
        <d v="2024-03-23T00:00:00"/>
        <d v="2024-07-14T00:00:00"/>
        <d v="2024-09-22T00:00:00"/>
        <d v="2024-07-11T00:00:00"/>
        <d v="2024-06-27T00:00:00"/>
        <d v="2024-06-24T00:00:00"/>
        <d v="2024-03-22T00:00:00"/>
        <d v="2024-05-27T00:00:00"/>
        <d v="2024-05-03T00:00:00"/>
        <d v="2024-10-07T00:00:00"/>
        <d v="2024-11-28T00:00:00"/>
        <d v="2024-01-21T00:00:00"/>
        <d v="2024-12-27T00:00:00"/>
        <d v="2024-04-04T00:00:00"/>
        <d v="2024-11-07T00:00:00"/>
        <d v="2024-11-13T00:00:00"/>
        <d v="2024-11-02T00:00:00"/>
        <d v="2024-10-04T00:00:00"/>
        <d v="2024-03-27T00:00:00"/>
        <d v="2024-03-02T00:00:00"/>
        <d v="2024-11-01T00:00:00"/>
        <d v="2024-05-04T00:00:00"/>
        <d v="2024-05-09T00:00:00"/>
      </sharedItems>
      <fieldGroup par="11" base="0">
        <rangePr groupBy="months" startDate="2024-01-02T00:00:00" endDate="2024-12-29T00:00:00"/>
        <groupItems count="14">
          <s v="&lt;02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9/12/2024"/>
        </groupItems>
      </fieldGroup>
    </cacheField>
    <cacheField name="Produto" numFmtId="0">
      <sharedItems count="5">
        <s v="Xbox Series S"/>
        <s v="Xbox Series X"/>
        <s v="Controle Xbox"/>
        <s v="Game Pass"/>
        <s v="Headset Gamer"/>
      </sharedItems>
    </cacheField>
    <cacheField name="Categoria" numFmtId="0">
      <sharedItems/>
    </cacheField>
    <cacheField name="Periodicidade" numFmtId="0">
      <sharedItems count="3">
        <s v="Mensal"/>
        <s v="Anual "/>
        <s v="Quadrimestral"/>
      </sharedItems>
    </cacheField>
    <cacheField name="Tipo de Game Pass" numFmtId="0">
      <sharedItems count="4">
        <s v="EA Play"/>
        <s v="Minecraft"/>
        <s v="Xbox Game Pass Core"/>
        <s v="Xbox Game Pass Ultimate"/>
      </sharedItems>
    </cacheField>
    <cacheField name="Subcrição? Sim/Não" numFmtId="0">
      <sharedItems count="3">
        <s v="Sim "/>
        <s v="Não"/>
        <s v="Nâo" u="1"/>
      </sharedItems>
    </cacheField>
    <cacheField name="Região" numFmtId="0">
      <sharedItems count="5">
        <s v="Nordeste"/>
        <s v="Sul"/>
        <s v="Norte"/>
        <s v="Centro-Oeste"/>
        <s v="Sudeste"/>
      </sharedItems>
    </cacheField>
    <cacheField name="Vendedor" numFmtId="0">
      <sharedItems/>
    </cacheField>
    <cacheField name="Quantidade" numFmtId="0">
      <sharedItems containsSemiMixedTypes="0" containsString="0" containsNumber="1" containsInteger="1" minValue="1" maxValue="5"/>
    </cacheField>
    <cacheField name="Valor Unitário" numFmtId="0">
      <sharedItems containsSemiMixedTypes="0" containsString="0" containsNumber="1" containsInteger="1" minValue="199" maxValue="2499"/>
    </cacheField>
    <cacheField name="Valor Total" numFmtId="0">
      <sharedItems containsSemiMixedTypes="0" containsString="0" containsNumber="1" containsInteger="1" minValue="199" maxValue="12495"/>
    </cacheField>
    <cacheField name="Anos" numFmtId="0" databaseField="0">
      <fieldGroup base="0">
        <rangePr groupBy="years" startDate="2024-01-02T00:00:00" endDate="2024-12-29T00:00:00"/>
        <groupItems count="3">
          <s v="&lt;02/01/2024"/>
          <s v="2024"/>
          <s v="&gt;29/12/2024"/>
        </groupItems>
      </fieldGroup>
    </cacheField>
  </cacheFields>
  <extLst>
    <ext xmlns:x14="http://schemas.microsoft.com/office/spreadsheetml/2009/9/main" uri="{725AE2AE-9491-48be-B2B4-4EB974FC3084}">
      <x14:pivotCacheDefinition pivotCacheId="12622248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s v="Console"/>
    <x v="0"/>
    <x v="0"/>
    <x v="0"/>
    <x v="0"/>
    <s v="Bruno"/>
    <n v="5"/>
    <n v="299"/>
    <n v="1495"/>
  </r>
  <r>
    <x v="1"/>
    <x v="0"/>
    <s v="Console"/>
    <x v="1"/>
    <x v="1"/>
    <x v="0"/>
    <x v="1"/>
    <s v="Daniela"/>
    <n v="2"/>
    <n v="349"/>
    <n v="698"/>
  </r>
  <r>
    <x v="2"/>
    <x v="1"/>
    <s v="Console"/>
    <x v="2"/>
    <x v="2"/>
    <x v="0"/>
    <x v="1"/>
    <s v="Carlos"/>
    <n v="1"/>
    <n v="349"/>
    <n v="349"/>
  </r>
  <r>
    <x v="3"/>
    <x v="2"/>
    <s v="Acessório"/>
    <x v="0"/>
    <x v="3"/>
    <x v="0"/>
    <x v="0"/>
    <s v="Ana"/>
    <n v="5"/>
    <n v="199"/>
    <n v="995"/>
  </r>
  <r>
    <x v="4"/>
    <x v="0"/>
    <s v="Console"/>
    <x v="1"/>
    <x v="0"/>
    <x v="0"/>
    <x v="2"/>
    <s v="Daniela"/>
    <n v="2"/>
    <n v="1999"/>
    <n v="3998"/>
  </r>
  <r>
    <x v="5"/>
    <x v="3"/>
    <s v="Serviço"/>
    <x v="2"/>
    <x v="1"/>
    <x v="1"/>
    <x v="3"/>
    <s v="Ana"/>
    <n v="2"/>
    <n v="249"/>
    <n v="498"/>
  </r>
  <r>
    <x v="6"/>
    <x v="3"/>
    <s v="Serviço"/>
    <x v="0"/>
    <x v="2"/>
    <x v="0"/>
    <x v="3"/>
    <s v="Daniela"/>
    <n v="1"/>
    <n v="349"/>
    <n v="349"/>
  </r>
  <r>
    <x v="7"/>
    <x v="4"/>
    <s v="Acessório"/>
    <x v="1"/>
    <x v="3"/>
    <x v="0"/>
    <x v="3"/>
    <s v="Ana"/>
    <n v="2"/>
    <n v="299"/>
    <n v="598"/>
  </r>
  <r>
    <x v="8"/>
    <x v="3"/>
    <s v="Serviço"/>
    <x v="2"/>
    <x v="0"/>
    <x v="0"/>
    <x v="0"/>
    <s v="Ana"/>
    <n v="3"/>
    <n v="349"/>
    <n v="1047"/>
  </r>
  <r>
    <x v="9"/>
    <x v="0"/>
    <s v="Console"/>
    <x v="0"/>
    <x v="1"/>
    <x v="0"/>
    <x v="3"/>
    <s v="Ana"/>
    <n v="4"/>
    <n v="299"/>
    <n v="1196"/>
  </r>
  <r>
    <x v="10"/>
    <x v="1"/>
    <s v="Console"/>
    <x v="1"/>
    <x v="2"/>
    <x v="1"/>
    <x v="4"/>
    <s v="Carlos"/>
    <n v="1"/>
    <n v="299"/>
    <n v="299"/>
  </r>
  <r>
    <x v="11"/>
    <x v="2"/>
    <s v="Acessório"/>
    <x v="2"/>
    <x v="3"/>
    <x v="0"/>
    <x v="4"/>
    <s v="Daniela"/>
    <n v="1"/>
    <n v="349"/>
    <n v="349"/>
  </r>
  <r>
    <x v="12"/>
    <x v="3"/>
    <s v="Serviço"/>
    <x v="0"/>
    <x v="0"/>
    <x v="0"/>
    <x v="1"/>
    <s v="Bruno"/>
    <n v="5"/>
    <n v="249"/>
    <n v="1245"/>
  </r>
  <r>
    <x v="13"/>
    <x v="4"/>
    <s v="Acessório"/>
    <x v="1"/>
    <x v="1"/>
    <x v="0"/>
    <x v="0"/>
    <s v="Daniela"/>
    <n v="1"/>
    <n v="2499"/>
    <n v="2499"/>
  </r>
  <r>
    <x v="14"/>
    <x v="1"/>
    <s v="Console"/>
    <x v="0"/>
    <x v="2"/>
    <x v="0"/>
    <x v="2"/>
    <s v="Daniela"/>
    <n v="5"/>
    <n v="299"/>
    <n v="1495"/>
  </r>
  <r>
    <x v="15"/>
    <x v="3"/>
    <s v="Serviço"/>
    <x v="1"/>
    <x v="3"/>
    <x v="0"/>
    <x v="3"/>
    <s v="Carlos"/>
    <n v="2"/>
    <n v="299"/>
    <n v="598"/>
  </r>
  <r>
    <x v="16"/>
    <x v="2"/>
    <s v="Acessório"/>
    <x v="2"/>
    <x v="0"/>
    <x v="1"/>
    <x v="0"/>
    <s v="Carlos"/>
    <n v="3"/>
    <n v="299"/>
    <n v="897"/>
  </r>
  <r>
    <x v="17"/>
    <x v="4"/>
    <s v="Acessório"/>
    <x v="0"/>
    <x v="1"/>
    <x v="0"/>
    <x v="3"/>
    <s v="Bruno"/>
    <n v="2"/>
    <n v="199"/>
    <n v="398"/>
  </r>
  <r>
    <x v="18"/>
    <x v="0"/>
    <s v="Console"/>
    <x v="1"/>
    <x v="2"/>
    <x v="0"/>
    <x v="0"/>
    <s v="Bruno"/>
    <n v="2"/>
    <n v="299"/>
    <n v="598"/>
  </r>
  <r>
    <x v="19"/>
    <x v="2"/>
    <s v="Acessório"/>
    <x v="2"/>
    <x v="3"/>
    <x v="0"/>
    <x v="1"/>
    <s v="Bruno"/>
    <n v="5"/>
    <n v="349"/>
    <n v="1745"/>
  </r>
  <r>
    <x v="20"/>
    <x v="3"/>
    <s v="Serviço"/>
    <x v="0"/>
    <x v="0"/>
    <x v="0"/>
    <x v="3"/>
    <s v="Bruno"/>
    <n v="2"/>
    <n v="249"/>
    <n v="498"/>
  </r>
  <r>
    <x v="21"/>
    <x v="1"/>
    <s v="Console"/>
    <x v="1"/>
    <x v="1"/>
    <x v="1"/>
    <x v="4"/>
    <s v="Ana"/>
    <n v="5"/>
    <n v="249"/>
    <n v="1245"/>
  </r>
  <r>
    <x v="22"/>
    <x v="4"/>
    <s v="Acessório"/>
    <x v="2"/>
    <x v="2"/>
    <x v="0"/>
    <x v="2"/>
    <s v="Eduardo"/>
    <n v="4"/>
    <n v="199"/>
    <n v="796"/>
  </r>
  <r>
    <x v="23"/>
    <x v="3"/>
    <s v="Serviço"/>
    <x v="0"/>
    <x v="3"/>
    <x v="0"/>
    <x v="0"/>
    <s v="Ana"/>
    <n v="5"/>
    <n v="249"/>
    <n v="1245"/>
  </r>
  <r>
    <x v="24"/>
    <x v="3"/>
    <s v="Serviço"/>
    <x v="1"/>
    <x v="0"/>
    <x v="0"/>
    <x v="1"/>
    <s v="Carlos"/>
    <n v="2"/>
    <n v="299"/>
    <n v="598"/>
  </r>
  <r>
    <x v="25"/>
    <x v="1"/>
    <s v="Console"/>
    <x v="0"/>
    <x v="1"/>
    <x v="0"/>
    <x v="3"/>
    <s v="Bruno"/>
    <n v="1"/>
    <n v="1999"/>
    <n v="1999"/>
  </r>
  <r>
    <x v="26"/>
    <x v="2"/>
    <s v="Acessório"/>
    <x v="1"/>
    <x v="2"/>
    <x v="0"/>
    <x v="1"/>
    <s v="Ana"/>
    <n v="4"/>
    <n v="199"/>
    <n v="796"/>
  </r>
  <r>
    <x v="27"/>
    <x v="4"/>
    <s v="Acessório"/>
    <x v="2"/>
    <x v="3"/>
    <x v="1"/>
    <x v="3"/>
    <s v="Bruno"/>
    <n v="5"/>
    <n v="2499"/>
    <n v="12495"/>
  </r>
  <r>
    <x v="28"/>
    <x v="3"/>
    <s v="Serviço"/>
    <x v="0"/>
    <x v="0"/>
    <x v="0"/>
    <x v="2"/>
    <s v="Ana"/>
    <n v="3"/>
    <n v="1999"/>
    <n v="5997"/>
  </r>
  <r>
    <x v="29"/>
    <x v="1"/>
    <s v="Console"/>
    <x v="1"/>
    <x v="1"/>
    <x v="0"/>
    <x v="2"/>
    <s v="Carlos"/>
    <n v="3"/>
    <n v="1999"/>
    <n v="5997"/>
  </r>
  <r>
    <x v="1"/>
    <x v="0"/>
    <s v="Console"/>
    <x v="2"/>
    <x v="2"/>
    <x v="0"/>
    <x v="4"/>
    <s v="Carlos"/>
    <n v="4"/>
    <n v="349"/>
    <n v="1396"/>
  </r>
  <r>
    <x v="30"/>
    <x v="2"/>
    <s v="Acessório"/>
    <x v="0"/>
    <x v="3"/>
    <x v="0"/>
    <x v="3"/>
    <s v="Ana"/>
    <n v="3"/>
    <n v="2499"/>
    <n v="7497"/>
  </r>
  <r>
    <x v="31"/>
    <x v="3"/>
    <s v="Serviço"/>
    <x v="1"/>
    <x v="0"/>
    <x v="0"/>
    <x v="0"/>
    <s v="Ana"/>
    <n v="3"/>
    <n v="1999"/>
    <n v="5997"/>
  </r>
  <r>
    <x v="32"/>
    <x v="2"/>
    <s v="Acessório"/>
    <x v="2"/>
    <x v="1"/>
    <x v="0"/>
    <x v="0"/>
    <s v="Carlos"/>
    <n v="3"/>
    <n v="199"/>
    <n v="597"/>
  </r>
  <r>
    <x v="33"/>
    <x v="4"/>
    <s v="Acessório"/>
    <x v="0"/>
    <x v="2"/>
    <x v="0"/>
    <x v="3"/>
    <s v="Carlos"/>
    <n v="4"/>
    <n v="299"/>
    <n v="1196"/>
  </r>
  <r>
    <x v="34"/>
    <x v="3"/>
    <s v="Serviço"/>
    <x v="1"/>
    <x v="3"/>
    <x v="1"/>
    <x v="2"/>
    <s v="Daniela"/>
    <n v="5"/>
    <n v="199"/>
    <n v="995"/>
  </r>
  <r>
    <x v="35"/>
    <x v="2"/>
    <s v="Acessório"/>
    <x v="0"/>
    <x v="0"/>
    <x v="0"/>
    <x v="1"/>
    <s v="Daniela"/>
    <n v="2"/>
    <n v="349"/>
    <n v="698"/>
  </r>
  <r>
    <x v="4"/>
    <x v="1"/>
    <s v="Console"/>
    <x v="1"/>
    <x v="1"/>
    <x v="0"/>
    <x v="2"/>
    <s v="Ana"/>
    <n v="5"/>
    <n v="199"/>
    <n v="995"/>
  </r>
  <r>
    <x v="36"/>
    <x v="2"/>
    <s v="Acessório"/>
    <x v="2"/>
    <x v="2"/>
    <x v="0"/>
    <x v="4"/>
    <s v="Eduardo"/>
    <n v="1"/>
    <n v="249"/>
    <n v="249"/>
  </r>
  <r>
    <x v="37"/>
    <x v="0"/>
    <s v="Console"/>
    <x v="0"/>
    <x v="3"/>
    <x v="0"/>
    <x v="3"/>
    <s v="Eduardo"/>
    <n v="1"/>
    <n v="2499"/>
    <n v="2499"/>
  </r>
  <r>
    <x v="38"/>
    <x v="1"/>
    <s v="Console"/>
    <x v="1"/>
    <x v="0"/>
    <x v="1"/>
    <x v="3"/>
    <s v="Daniela"/>
    <n v="2"/>
    <n v="1999"/>
    <n v="3998"/>
  </r>
  <r>
    <x v="39"/>
    <x v="3"/>
    <s v="Serviço"/>
    <x v="2"/>
    <x v="1"/>
    <x v="0"/>
    <x v="4"/>
    <s v="Ana"/>
    <n v="2"/>
    <n v="199"/>
    <n v="398"/>
  </r>
  <r>
    <x v="40"/>
    <x v="4"/>
    <s v="Acessório"/>
    <x v="0"/>
    <x v="2"/>
    <x v="0"/>
    <x v="4"/>
    <s v="Carlos"/>
    <n v="4"/>
    <n v="349"/>
    <n v="1396"/>
  </r>
  <r>
    <x v="41"/>
    <x v="1"/>
    <s v="Console"/>
    <x v="1"/>
    <x v="3"/>
    <x v="0"/>
    <x v="0"/>
    <s v="Eduardo"/>
    <n v="1"/>
    <n v="299"/>
    <n v="299"/>
  </r>
  <r>
    <x v="42"/>
    <x v="2"/>
    <s v="Acessório"/>
    <x v="2"/>
    <x v="0"/>
    <x v="0"/>
    <x v="3"/>
    <s v="Carlos"/>
    <n v="5"/>
    <n v="349"/>
    <n v="1745"/>
  </r>
  <r>
    <x v="43"/>
    <x v="1"/>
    <s v="Console"/>
    <x v="0"/>
    <x v="1"/>
    <x v="0"/>
    <x v="4"/>
    <s v="Bruno"/>
    <n v="4"/>
    <n v="249"/>
    <n v="996"/>
  </r>
  <r>
    <x v="44"/>
    <x v="0"/>
    <s v="Console"/>
    <x v="1"/>
    <x v="2"/>
    <x v="1"/>
    <x v="3"/>
    <s v="Eduardo"/>
    <n v="3"/>
    <n v="349"/>
    <n v="1047"/>
  </r>
  <r>
    <x v="45"/>
    <x v="3"/>
    <s v="Serviço"/>
    <x v="0"/>
    <x v="3"/>
    <x v="0"/>
    <x v="2"/>
    <s v="Ana"/>
    <n v="5"/>
    <n v="299"/>
    <n v="1495"/>
  </r>
  <r>
    <x v="46"/>
    <x v="0"/>
    <s v="Console"/>
    <x v="1"/>
    <x v="0"/>
    <x v="0"/>
    <x v="4"/>
    <s v="Bruno"/>
    <n v="3"/>
    <n v="349"/>
    <n v="1047"/>
  </r>
  <r>
    <x v="47"/>
    <x v="2"/>
    <s v="Acessório"/>
    <x v="2"/>
    <x v="1"/>
    <x v="0"/>
    <x v="2"/>
    <s v="Eduardo"/>
    <n v="5"/>
    <n v="299"/>
    <n v="1495"/>
  </r>
  <r>
    <x v="48"/>
    <x v="2"/>
    <s v="Acessório"/>
    <x v="0"/>
    <x v="2"/>
    <x v="0"/>
    <x v="0"/>
    <s v="Ana"/>
    <n v="5"/>
    <n v="199"/>
    <n v="995"/>
  </r>
  <r>
    <x v="49"/>
    <x v="1"/>
    <s v="Console"/>
    <x v="1"/>
    <x v="3"/>
    <x v="1"/>
    <x v="0"/>
    <s v="Carlos"/>
    <n v="2"/>
    <n v="1999"/>
    <n v="3998"/>
  </r>
  <r>
    <x v="50"/>
    <x v="1"/>
    <s v="Console"/>
    <x v="2"/>
    <x v="0"/>
    <x v="0"/>
    <x v="0"/>
    <s v="Daniela"/>
    <n v="1"/>
    <n v="2499"/>
    <n v="2499"/>
  </r>
  <r>
    <x v="51"/>
    <x v="4"/>
    <s v="Acessório"/>
    <x v="0"/>
    <x v="1"/>
    <x v="0"/>
    <x v="0"/>
    <s v="Ana"/>
    <n v="4"/>
    <n v="349"/>
    <n v="1396"/>
  </r>
  <r>
    <x v="52"/>
    <x v="2"/>
    <s v="Acessório"/>
    <x v="1"/>
    <x v="2"/>
    <x v="0"/>
    <x v="4"/>
    <s v="Carlos"/>
    <n v="2"/>
    <n v="299"/>
    <n v="598"/>
  </r>
  <r>
    <x v="53"/>
    <x v="3"/>
    <s v="Serviço"/>
    <x v="2"/>
    <x v="3"/>
    <x v="0"/>
    <x v="2"/>
    <s v="Ana"/>
    <n v="2"/>
    <n v="299"/>
    <n v="598"/>
  </r>
  <r>
    <x v="54"/>
    <x v="2"/>
    <s v="Acessório"/>
    <x v="0"/>
    <x v="0"/>
    <x v="0"/>
    <x v="2"/>
    <s v="Daniela"/>
    <n v="2"/>
    <n v="199"/>
    <n v="398"/>
  </r>
  <r>
    <x v="55"/>
    <x v="3"/>
    <s v="Serviço"/>
    <x v="1"/>
    <x v="1"/>
    <x v="1"/>
    <x v="2"/>
    <s v="Bruno"/>
    <n v="1"/>
    <n v="199"/>
    <n v="199"/>
  </r>
  <r>
    <x v="56"/>
    <x v="2"/>
    <s v="Acessório"/>
    <x v="0"/>
    <x v="2"/>
    <x v="0"/>
    <x v="3"/>
    <s v="Ana"/>
    <n v="5"/>
    <n v="199"/>
    <n v="995"/>
  </r>
  <r>
    <x v="57"/>
    <x v="0"/>
    <s v="Console"/>
    <x v="1"/>
    <x v="3"/>
    <x v="0"/>
    <x v="1"/>
    <s v="Daniela"/>
    <n v="5"/>
    <n v="199"/>
    <n v="995"/>
  </r>
  <r>
    <x v="8"/>
    <x v="1"/>
    <s v="Console"/>
    <x v="2"/>
    <x v="0"/>
    <x v="0"/>
    <x v="3"/>
    <s v="Bruno"/>
    <n v="3"/>
    <n v="199"/>
    <n v="597"/>
  </r>
  <r>
    <x v="58"/>
    <x v="1"/>
    <s v="Console"/>
    <x v="0"/>
    <x v="1"/>
    <x v="0"/>
    <x v="3"/>
    <s v="Carlos"/>
    <n v="3"/>
    <n v="2499"/>
    <n v="7497"/>
  </r>
  <r>
    <x v="48"/>
    <x v="4"/>
    <s v="Acessório"/>
    <x v="1"/>
    <x v="2"/>
    <x v="0"/>
    <x v="1"/>
    <s v="Bruno"/>
    <n v="4"/>
    <n v="299"/>
    <n v="1196"/>
  </r>
  <r>
    <x v="59"/>
    <x v="2"/>
    <s v="Acessório"/>
    <x v="2"/>
    <x v="3"/>
    <x v="0"/>
    <x v="0"/>
    <s v="Ana"/>
    <n v="5"/>
    <n v="299"/>
    <n v="1495"/>
  </r>
  <r>
    <x v="60"/>
    <x v="3"/>
    <s v="Serviço"/>
    <x v="0"/>
    <x v="0"/>
    <x v="0"/>
    <x v="4"/>
    <s v="Ana"/>
    <n v="5"/>
    <n v="2499"/>
    <n v="12495"/>
  </r>
  <r>
    <x v="61"/>
    <x v="3"/>
    <s v="Serviço"/>
    <x v="1"/>
    <x v="1"/>
    <x v="1"/>
    <x v="0"/>
    <s v="Ana"/>
    <n v="1"/>
    <n v="2499"/>
    <n v="2499"/>
  </r>
  <r>
    <x v="62"/>
    <x v="3"/>
    <s v="Serviço"/>
    <x v="2"/>
    <x v="2"/>
    <x v="0"/>
    <x v="1"/>
    <s v="Bruno"/>
    <n v="4"/>
    <n v="2499"/>
    <n v="9996"/>
  </r>
  <r>
    <x v="63"/>
    <x v="2"/>
    <s v="Acessório"/>
    <x v="0"/>
    <x v="3"/>
    <x v="0"/>
    <x v="0"/>
    <s v="Bruno"/>
    <n v="3"/>
    <n v="2499"/>
    <n v="7497"/>
  </r>
  <r>
    <x v="7"/>
    <x v="4"/>
    <s v="Acessório"/>
    <x v="1"/>
    <x v="0"/>
    <x v="0"/>
    <x v="3"/>
    <s v="Carlos"/>
    <n v="3"/>
    <n v="2499"/>
    <n v="7497"/>
  </r>
  <r>
    <x v="64"/>
    <x v="3"/>
    <s v="Serviço"/>
    <x v="0"/>
    <x v="1"/>
    <x v="0"/>
    <x v="3"/>
    <s v="Ana"/>
    <n v="4"/>
    <n v="349"/>
    <n v="1396"/>
  </r>
  <r>
    <x v="65"/>
    <x v="4"/>
    <s v="Acessório"/>
    <x v="1"/>
    <x v="2"/>
    <x v="1"/>
    <x v="1"/>
    <s v="Daniela"/>
    <n v="4"/>
    <n v="199"/>
    <n v="796"/>
  </r>
  <r>
    <x v="66"/>
    <x v="2"/>
    <s v="Acessório"/>
    <x v="2"/>
    <x v="3"/>
    <x v="0"/>
    <x v="4"/>
    <s v="Ana"/>
    <n v="1"/>
    <n v="2499"/>
    <n v="2499"/>
  </r>
  <r>
    <x v="65"/>
    <x v="3"/>
    <s v="Serviço"/>
    <x v="0"/>
    <x v="0"/>
    <x v="0"/>
    <x v="3"/>
    <s v="Carlos"/>
    <n v="1"/>
    <n v="349"/>
    <n v="349"/>
  </r>
  <r>
    <x v="67"/>
    <x v="2"/>
    <s v="Acessório"/>
    <x v="1"/>
    <x v="1"/>
    <x v="0"/>
    <x v="3"/>
    <s v="Ana"/>
    <n v="5"/>
    <n v="199"/>
    <n v="995"/>
  </r>
  <r>
    <x v="68"/>
    <x v="4"/>
    <s v="Acessório"/>
    <x v="2"/>
    <x v="2"/>
    <x v="0"/>
    <x v="4"/>
    <s v="Eduardo"/>
    <n v="4"/>
    <n v="2499"/>
    <n v="9996"/>
  </r>
  <r>
    <x v="69"/>
    <x v="0"/>
    <s v="Console"/>
    <x v="0"/>
    <x v="3"/>
    <x v="0"/>
    <x v="1"/>
    <s v="Bruno"/>
    <n v="4"/>
    <n v="249"/>
    <n v="996"/>
  </r>
  <r>
    <x v="70"/>
    <x v="3"/>
    <s v="Serviço"/>
    <x v="1"/>
    <x v="0"/>
    <x v="1"/>
    <x v="1"/>
    <s v="Bruno"/>
    <n v="4"/>
    <n v="2499"/>
    <n v="9996"/>
  </r>
  <r>
    <x v="23"/>
    <x v="3"/>
    <s v="Serviço"/>
    <x v="2"/>
    <x v="1"/>
    <x v="0"/>
    <x v="2"/>
    <s v="Carlos"/>
    <n v="1"/>
    <n v="349"/>
    <n v="349"/>
  </r>
  <r>
    <x v="71"/>
    <x v="3"/>
    <s v="Serviço"/>
    <x v="0"/>
    <x v="2"/>
    <x v="0"/>
    <x v="2"/>
    <s v="Eduardo"/>
    <n v="5"/>
    <n v="349"/>
    <n v="1745"/>
  </r>
  <r>
    <x v="72"/>
    <x v="3"/>
    <s v="Serviço"/>
    <x v="1"/>
    <x v="3"/>
    <x v="0"/>
    <x v="1"/>
    <s v="Carlos"/>
    <n v="4"/>
    <n v="199"/>
    <n v="796"/>
  </r>
  <r>
    <x v="73"/>
    <x v="3"/>
    <s v="Serviço"/>
    <x v="0"/>
    <x v="0"/>
    <x v="0"/>
    <x v="4"/>
    <s v="Eduardo"/>
    <n v="5"/>
    <n v="249"/>
    <n v="1245"/>
  </r>
  <r>
    <x v="74"/>
    <x v="4"/>
    <s v="Acessório"/>
    <x v="1"/>
    <x v="1"/>
    <x v="1"/>
    <x v="3"/>
    <s v="Eduardo"/>
    <n v="3"/>
    <n v="1999"/>
    <n v="5997"/>
  </r>
  <r>
    <x v="75"/>
    <x v="2"/>
    <s v="Acessório"/>
    <x v="2"/>
    <x v="2"/>
    <x v="0"/>
    <x v="2"/>
    <s v="Daniela"/>
    <n v="5"/>
    <n v="349"/>
    <n v="1745"/>
  </r>
  <r>
    <x v="76"/>
    <x v="1"/>
    <s v="Console"/>
    <x v="0"/>
    <x v="3"/>
    <x v="0"/>
    <x v="0"/>
    <s v="Carlos"/>
    <n v="1"/>
    <n v="199"/>
    <n v="199"/>
  </r>
  <r>
    <x v="77"/>
    <x v="3"/>
    <s v="Serviço"/>
    <x v="1"/>
    <x v="0"/>
    <x v="0"/>
    <x v="2"/>
    <s v="Ana"/>
    <n v="3"/>
    <n v="199"/>
    <n v="597"/>
  </r>
  <r>
    <x v="23"/>
    <x v="0"/>
    <s v="Console"/>
    <x v="2"/>
    <x v="1"/>
    <x v="0"/>
    <x v="2"/>
    <s v="Carlos"/>
    <n v="2"/>
    <n v="199"/>
    <n v="398"/>
  </r>
  <r>
    <x v="78"/>
    <x v="3"/>
    <s v="Serviço"/>
    <x v="0"/>
    <x v="2"/>
    <x v="0"/>
    <x v="3"/>
    <s v="Eduardo"/>
    <n v="3"/>
    <n v="349"/>
    <n v="1047"/>
  </r>
  <r>
    <x v="79"/>
    <x v="0"/>
    <s v="Console"/>
    <x v="1"/>
    <x v="3"/>
    <x v="1"/>
    <x v="0"/>
    <s v="Bruno"/>
    <n v="2"/>
    <n v="249"/>
    <n v="498"/>
  </r>
  <r>
    <x v="80"/>
    <x v="3"/>
    <s v="Serviço"/>
    <x v="2"/>
    <x v="0"/>
    <x v="0"/>
    <x v="4"/>
    <s v="Bruno"/>
    <n v="5"/>
    <n v="349"/>
    <n v="1745"/>
  </r>
  <r>
    <x v="81"/>
    <x v="2"/>
    <s v="Acessório"/>
    <x v="0"/>
    <x v="1"/>
    <x v="0"/>
    <x v="0"/>
    <s v="Eduardo"/>
    <n v="1"/>
    <n v="249"/>
    <n v="249"/>
  </r>
  <r>
    <x v="82"/>
    <x v="2"/>
    <s v="Acessório"/>
    <x v="1"/>
    <x v="2"/>
    <x v="0"/>
    <x v="4"/>
    <s v="Daniela"/>
    <n v="1"/>
    <n v="249"/>
    <n v="249"/>
  </r>
  <r>
    <x v="83"/>
    <x v="3"/>
    <s v="Serviço"/>
    <x v="0"/>
    <x v="3"/>
    <x v="0"/>
    <x v="3"/>
    <s v="Bruno"/>
    <n v="3"/>
    <n v="2499"/>
    <n v="7497"/>
  </r>
  <r>
    <x v="84"/>
    <x v="4"/>
    <s v="Acessório"/>
    <x v="1"/>
    <x v="0"/>
    <x v="0"/>
    <x v="4"/>
    <s v="Bruno"/>
    <n v="1"/>
    <n v="1999"/>
    <n v="1999"/>
  </r>
  <r>
    <x v="85"/>
    <x v="4"/>
    <s v="Acessório"/>
    <x v="2"/>
    <x v="1"/>
    <x v="0"/>
    <x v="2"/>
    <s v="Eduardo"/>
    <n v="5"/>
    <n v="299"/>
    <n v="1495"/>
  </r>
  <r>
    <x v="46"/>
    <x v="0"/>
    <s v="Console"/>
    <x v="0"/>
    <x v="2"/>
    <x v="0"/>
    <x v="2"/>
    <s v="Eduardo"/>
    <n v="1"/>
    <n v="199"/>
    <n v="199"/>
  </r>
  <r>
    <x v="86"/>
    <x v="1"/>
    <s v="Console"/>
    <x v="1"/>
    <x v="3"/>
    <x v="1"/>
    <x v="2"/>
    <s v="Carlos"/>
    <n v="2"/>
    <n v="2499"/>
    <n v="4998"/>
  </r>
  <r>
    <x v="87"/>
    <x v="3"/>
    <s v="Serviço"/>
    <x v="2"/>
    <x v="0"/>
    <x v="0"/>
    <x v="1"/>
    <s v="Ana"/>
    <n v="5"/>
    <n v="199"/>
    <n v="995"/>
  </r>
  <r>
    <x v="88"/>
    <x v="4"/>
    <s v="Acessório"/>
    <x v="0"/>
    <x v="1"/>
    <x v="0"/>
    <x v="0"/>
    <s v="Daniela"/>
    <n v="4"/>
    <n v="199"/>
    <n v="796"/>
  </r>
  <r>
    <x v="71"/>
    <x v="2"/>
    <s v="Acessório"/>
    <x v="1"/>
    <x v="2"/>
    <x v="0"/>
    <x v="4"/>
    <s v="Bruno"/>
    <n v="5"/>
    <n v="2499"/>
    <n v="12495"/>
  </r>
  <r>
    <x v="89"/>
    <x v="4"/>
    <s v="Acessório"/>
    <x v="2"/>
    <x v="3"/>
    <x v="0"/>
    <x v="4"/>
    <s v="Daniela"/>
    <n v="1"/>
    <n v="249"/>
    <n v="249"/>
  </r>
  <r>
    <x v="90"/>
    <x v="2"/>
    <s v="Acessório"/>
    <x v="0"/>
    <x v="0"/>
    <x v="1"/>
    <x v="4"/>
    <s v="Eduardo"/>
    <n v="1"/>
    <n v="1999"/>
    <n v="1999"/>
  </r>
  <r>
    <x v="17"/>
    <x v="4"/>
    <s v="Acessório"/>
    <x v="1"/>
    <x v="1"/>
    <x v="0"/>
    <x v="0"/>
    <s v="Ana"/>
    <n v="5"/>
    <n v="2499"/>
    <n v="12495"/>
  </r>
  <r>
    <x v="91"/>
    <x v="1"/>
    <s v="Console"/>
    <x v="0"/>
    <x v="2"/>
    <x v="0"/>
    <x v="1"/>
    <s v="Carlos"/>
    <n v="1"/>
    <n v="1999"/>
    <n v="1999"/>
  </r>
  <r>
    <x v="92"/>
    <x v="3"/>
    <s v="Serviço"/>
    <x v="1"/>
    <x v="3"/>
    <x v="0"/>
    <x v="0"/>
    <s v="Daniela"/>
    <n v="1"/>
    <n v="1999"/>
    <n v="1999"/>
  </r>
  <r>
    <x v="93"/>
    <x v="0"/>
    <s v="Console"/>
    <x v="2"/>
    <x v="0"/>
    <x v="0"/>
    <x v="1"/>
    <s v="Ana"/>
    <n v="5"/>
    <n v="349"/>
    <n v="1745"/>
  </r>
  <r>
    <x v="94"/>
    <x v="1"/>
    <s v="Console"/>
    <x v="0"/>
    <x v="1"/>
    <x v="0"/>
    <x v="0"/>
    <s v="Daniela"/>
    <n v="1"/>
    <n v="199"/>
    <n v="199"/>
  </r>
  <r>
    <x v="95"/>
    <x v="2"/>
    <s v="Acessório"/>
    <x v="1"/>
    <x v="2"/>
    <x v="1"/>
    <x v="0"/>
    <s v="Ana"/>
    <n v="2"/>
    <n v="2499"/>
    <n v="4998"/>
  </r>
  <r>
    <x v="96"/>
    <x v="4"/>
    <s v="Acessório"/>
    <x v="2"/>
    <x v="3"/>
    <x v="0"/>
    <x v="3"/>
    <s v="Eduardo"/>
    <n v="1"/>
    <n v="2499"/>
    <n v="2499"/>
  </r>
  <r>
    <x v="97"/>
    <x v="4"/>
    <s v="Acessório"/>
    <x v="0"/>
    <x v="0"/>
    <x v="0"/>
    <x v="2"/>
    <s v="Eduardo"/>
    <n v="1"/>
    <n v="299"/>
    <n v="299"/>
  </r>
  <r>
    <x v="98"/>
    <x v="1"/>
    <s v="Console"/>
    <x v="1"/>
    <x v="1"/>
    <x v="0"/>
    <x v="4"/>
    <s v="Bruno"/>
    <n v="1"/>
    <n v="2499"/>
    <n v="2499"/>
  </r>
  <r>
    <x v="18"/>
    <x v="1"/>
    <s v="Console"/>
    <x v="2"/>
    <x v="2"/>
    <x v="0"/>
    <x v="2"/>
    <s v="Daniela"/>
    <n v="4"/>
    <n v="2499"/>
    <n v="9996"/>
  </r>
  <r>
    <x v="45"/>
    <x v="0"/>
    <s v="Console"/>
    <x v="0"/>
    <x v="3"/>
    <x v="1"/>
    <x v="0"/>
    <s v="Bruno"/>
    <n v="2"/>
    <n v="1999"/>
    <n v="3998"/>
  </r>
  <r>
    <x v="99"/>
    <x v="4"/>
    <s v="Acessório"/>
    <x v="1"/>
    <x v="0"/>
    <x v="0"/>
    <x v="4"/>
    <s v="Ana"/>
    <n v="2"/>
    <n v="299"/>
    <n v="598"/>
  </r>
  <r>
    <x v="57"/>
    <x v="1"/>
    <s v="Console"/>
    <x v="0"/>
    <x v="1"/>
    <x v="0"/>
    <x v="3"/>
    <s v="Ana"/>
    <n v="3"/>
    <n v="1999"/>
    <n v="5997"/>
  </r>
  <r>
    <x v="100"/>
    <x v="2"/>
    <s v="Acessório"/>
    <x v="1"/>
    <x v="2"/>
    <x v="0"/>
    <x v="0"/>
    <s v="Carlos"/>
    <n v="5"/>
    <n v="299"/>
    <n v="1495"/>
  </r>
  <r>
    <x v="47"/>
    <x v="2"/>
    <s v="Acessório"/>
    <x v="2"/>
    <x v="3"/>
    <x v="0"/>
    <x v="4"/>
    <s v="Bruno"/>
    <n v="5"/>
    <n v="1999"/>
    <n v="9995"/>
  </r>
  <r>
    <x v="101"/>
    <x v="0"/>
    <s v="Console"/>
    <x v="0"/>
    <x v="0"/>
    <x v="0"/>
    <x v="2"/>
    <s v="Carlos"/>
    <n v="3"/>
    <n v="199"/>
    <n v="597"/>
  </r>
  <r>
    <x v="102"/>
    <x v="0"/>
    <s v="Console"/>
    <x v="1"/>
    <x v="1"/>
    <x v="1"/>
    <x v="2"/>
    <s v="Ana"/>
    <n v="3"/>
    <n v="299"/>
    <n v="897"/>
  </r>
  <r>
    <x v="103"/>
    <x v="1"/>
    <s v="Console"/>
    <x v="2"/>
    <x v="2"/>
    <x v="0"/>
    <x v="2"/>
    <s v="Bruno"/>
    <n v="3"/>
    <n v="199"/>
    <n v="597"/>
  </r>
  <r>
    <x v="59"/>
    <x v="2"/>
    <s v="Acessório"/>
    <x v="0"/>
    <x v="3"/>
    <x v="0"/>
    <x v="2"/>
    <s v="Daniela"/>
    <n v="3"/>
    <n v="299"/>
    <n v="897"/>
  </r>
  <r>
    <x v="104"/>
    <x v="4"/>
    <s v="Acessório"/>
    <x v="1"/>
    <x v="0"/>
    <x v="0"/>
    <x v="0"/>
    <s v="Carlos"/>
    <n v="4"/>
    <n v="199"/>
    <n v="796"/>
  </r>
  <r>
    <x v="26"/>
    <x v="3"/>
    <s v="Serviço"/>
    <x v="2"/>
    <x v="1"/>
    <x v="0"/>
    <x v="2"/>
    <s v="Daniela"/>
    <n v="3"/>
    <n v="1999"/>
    <n v="5997"/>
  </r>
  <r>
    <x v="105"/>
    <x v="3"/>
    <s v="Serviço"/>
    <x v="0"/>
    <x v="2"/>
    <x v="0"/>
    <x v="1"/>
    <s v="Eduardo"/>
    <n v="4"/>
    <n v="249"/>
    <n v="996"/>
  </r>
  <r>
    <x v="106"/>
    <x v="2"/>
    <s v="Acessório"/>
    <x v="1"/>
    <x v="3"/>
    <x v="0"/>
    <x v="0"/>
    <s v="Carlos"/>
    <n v="3"/>
    <n v="349"/>
    <n v="1047"/>
  </r>
  <r>
    <x v="107"/>
    <x v="1"/>
    <s v="Console"/>
    <x v="0"/>
    <x v="0"/>
    <x v="0"/>
    <x v="0"/>
    <s v="Ana"/>
    <n v="5"/>
    <n v="2499"/>
    <n v="12495"/>
  </r>
  <r>
    <x v="108"/>
    <x v="2"/>
    <s v="Acessório"/>
    <x v="1"/>
    <x v="1"/>
    <x v="1"/>
    <x v="3"/>
    <s v="Daniela"/>
    <n v="2"/>
    <n v="1999"/>
    <n v="3998"/>
  </r>
  <r>
    <x v="109"/>
    <x v="3"/>
    <s v="Serviço"/>
    <x v="2"/>
    <x v="2"/>
    <x v="0"/>
    <x v="0"/>
    <s v="Carlos"/>
    <n v="5"/>
    <n v="1999"/>
    <n v="9995"/>
  </r>
  <r>
    <x v="110"/>
    <x v="2"/>
    <s v="Acessório"/>
    <x v="0"/>
    <x v="3"/>
    <x v="0"/>
    <x v="0"/>
    <s v="Carlos"/>
    <n v="1"/>
    <n v="349"/>
    <n v="349"/>
  </r>
  <r>
    <x v="111"/>
    <x v="2"/>
    <s v="Acessório"/>
    <x v="1"/>
    <x v="0"/>
    <x v="0"/>
    <x v="0"/>
    <s v="Carlos"/>
    <n v="2"/>
    <n v="299"/>
    <n v="598"/>
  </r>
  <r>
    <x v="112"/>
    <x v="3"/>
    <s v="Serviço"/>
    <x v="2"/>
    <x v="1"/>
    <x v="0"/>
    <x v="1"/>
    <s v="Eduardo"/>
    <n v="3"/>
    <n v="249"/>
    <n v="747"/>
  </r>
  <r>
    <x v="31"/>
    <x v="1"/>
    <s v="Console"/>
    <x v="0"/>
    <x v="2"/>
    <x v="1"/>
    <x v="3"/>
    <s v="Bruno"/>
    <n v="4"/>
    <n v="249"/>
    <n v="996"/>
  </r>
  <r>
    <x v="4"/>
    <x v="0"/>
    <s v="Console"/>
    <x v="1"/>
    <x v="3"/>
    <x v="0"/>
    <x v="3"/>
    <s v="Daniela"/>
    <n v="3"/>
    <n v="349"/>
    <n v="1047"/>
  </r>
  <r>
    <x v="19"/>
    <x v="1"/>
    <s v="Console"/>
    <x v="2"/>
    <x v="0"/>
    <x v="0"/>
    <x v="1"/>
    <s v="Ana"/>
    <n v="1"/>
    <n v="349"/>
    <n v="349"/>
  </r>
  <r>
    <x v="48"/>
    <x v="1"/>
    <s v="Console"/>
    <x v="0"/>
    <x v="1"/>
    <x v="0"/>
    <x v="4"/>
    <s v="Daniela"/>
    <n v="4"/>
    <n v="2499"/>
    <n v="9996"/>
  </r>
  <r>
    <x v="86"/>
    <x v="1"/>
    <s v="Console"/>
    <x v="1"/>
    <x v="2"/>
    <x v="0"/>
    <x v="3"/>
    <s v="Carlos"/>
    <n v="3"/>
    <n v="349"/>
    <n v="1047"/>
  </r>
  <r>
    <x v="113"/>
    <x v="4"/>
    <s v="Acessório"/>
    <x v="0"/>
    <x v="3"/>
    <x v="0"/>
    <x v="4"/>
    <s v="Eduardo"/>
    <n v="2"/>
    <n v="299"/>
    <n v="598"/>
  </r>
  <r>
    <x v="1"/>
    <x v="4"/>
    <s v="Acessório"/>
    <x v="1"/>
    <x v="0"/>
    <x v="1"/>
    <x v="4"/>
    <s v="Carlos"/>
    <n v="5"/>
    <n v="2499"/>
    <n v="12495"/>
  </r>
  <r>
    <x v="26"/>
    <x v="4"/>
    <s v="Acessório"/>
    <x v="2"/>
    <x v="1"/>
    <x v="0"/>
    <x v="4"/>
    <s v="Bruno"/>
    <n v="5"/>
    <n v="199"/>
    <n v="995"/>
  </r>
  <r>
    <x v="114"/>
    <x v="2"/>
    <s v="Acessório"/>
    <x v="0"/>
    <x v="2"/>
    <x v="0"/>
    <x v="3"/>
    <s v="Bruno"/>
    <n v="5"/>
    <n v="249"/>
    <n v="1245"/>
  </r>
  <r>
    <x v="115"/>
    <x v="2"/>
    <s v="Acessório"/>
    <x v="1"/>
    <x v="3"/>
    <x v="0"/>
    <x v="3"/>
    <s v="Bruno"/>
    <n v="4"/>
    <n v="349"/>
    <n v="1396"/>
  </r>
  <r>
    <x v="116"/>
    <x v="1"/>
    <s v="Console"/>
    <x v="2"/>
    <x v="0"/>
    <x v="0"/>
    <x v="0"/>
    <s v="Carlos"/>
    <n v="4"/>
    <n v="349"/>
    <n v="1396"/>
  </r>
  <r>
    <x v="117"/>
    <x v="1"/>
    <s v="Console"/>
    <x v="0"/>
    <x v="1"/>
    <x v="1"/>
    <x v="3"/>
    <s v="Daniela"/>
    <n v="4"/>
    <n v="199"/>
    <n v="796"/>
  </r>
  <r>
    <x v="118"/>
    <x v="4"/>
    <s v="Acessório"/>
    <x v="1"/>
    <x v="2"/>
    <x v="0"/>
    <x v="4"/>
    <s v="Daniela"/>
    <n v="5"/>
    <n v="2499"/>
    <n v="12495"/>
  </r>
  <r>
    <x v="119"/>
    <x v="4"/>
    <s v="Acessório"/>
    <x v="2"/>
    <x v="3"/>
    <x v="0"/>
    <x v="2"/>
    <s v="Bruno"/>
    <n v="3"/>
    <n v="249"/>
    <n v="747"/>
  </r>
  <r>
    <x v="120"/>
    <x v="3"/>
    <s v="Serviço"/>
    <x v="0"/>
    <x v="0"/>
    <x v="0"/>
    <x v="2"/>
    <s v="Eduardo"/>
    <n v="3"/>
    <n v="1999"/>
    <n v="5997"/>
  </r>
  <r>
    <x v="121"/>
    <x v="0"/>
    <s v="Console"/>
    <x v="1"/>
    <x v="1"/>
    <x v="0"/>
    <x v="1"/>
    <s v="Carlos"/>
    <n v="4"/>
    <n v="199"/>
    <n v="796"/>
  </r>
  <r>
    <x v="84"/>
    <x v="0"/>
    <s v="Console"/>
    <x v="0"/>
    <x v="2"/>
    <x v="0"/>
    <x v="0"/>
    <s v="Carlos"/>
    <n v="2"/>
    <n v="299"/>
    <n v="598"/>
  </r>
  <r>
    <x v="19"/>
    <x v="2"/>
    <s v="Acessório"/>
    <x v="1"/>
    <x v="3"/>
    <x v="1"/>
    <x v="2"/>
    <s v="Bruno"/>
    <n v="1"/>
    <n v="299"/>
    <n v="299"/>
  </r>
  <r>
    <x v="26"/>
    <x v="1"/>
    <s v="Console"/>
    <x v="2"/>
    <x v="0"/>
    <x v="0"/>
    <x v="2"/>
    <s v="Daniela"/>
    <n v="5"/>
    <n v="199"/>
    <n v="995"/>
  </r>
  <r>
    <x v="122"/>
    <x v="2"/>
    <s v="Acessório"/>
    <x v="0"/>
    <x v="1"/>
    <x v="0"/>
    <x v="1"/>
    <s v="Carlos"/>
    <n v="3"/>
    <n v="1999"/>
    <n v="5997"/>
  </r>
  <r>
    <x v="123"/>
    <x v="1"/>
    <s v="Console"/>
    <x v="1"/>
    <x v="2"/>
    <x v="0"/>
    <x v="0"/>
    <s v="Ana"/>
    <n v="4"/>
    <n v="299"/>
    <n v="1196"/>
  </r>
  <r>
    <x v="124"/>
    <x v="4"/>
    <s v="Acessório"/>
    <x v="2"/>
    <x v="3"/>
    <x v="0"/>
    <x v="3"/>
    <s v="Daniela"/>
    <n v="4"/>
    <n v="349"/>
    <n v="1396"/>
  </r>
  <r>
    <x v="125"/>
    <x v="1"/>
    <s v="Console"/>
    <x v="0"/>
    <x v="0"/>
    <x v="0"/>
    <x v="2"/>
    <s v="Eduardo"/>
    <n v="4"/>
    <n v="199"/>
    <n v="796"/>
  </r>
  <r>
    <x v="77"/>
    <x v="2"/>
    <s v="Acessório"/>
    <x v="1"/>
    <x v="1"/>
    <x v="0"/>
    <x v="0"/>
    <s v="Carlos"/>
    <n v="1"/>
    <n v="1999"/>
    <n v="1999"/>
  </r>
  <r>
    <x v="126"/>
    <x v="3"/>
    <s v="Serviço"/>
    <x v="2"/>
    <x v="2"/>
    <x v="0"/>
    <x v="4"/>
    <s v="Carlos"/>
    <n v="3"/>
    <n v="2499"/>
    <n v="7497"/>
  </r>
  <r>
    <x v="127"/>
    <x v="0"/>
    <s v="Console"/>
    <x v="0"/>
    <x v="3"/>
    <x v="1"/>
    <x v="1"/>
    <s v="Eduardo"/>
    <n v="5"/>
    <n v="199"/>
    <n v="995"/>
  </r>
  <r>
    <x v="128"/>
    <x v="2"/>
    <s v="Acessório"/>
    <x v="1"/>
    <x v="0"/>
    <x v="0"/>
    <x v="2"/>
    <s v="Carlos"/>
    <n v="5"/>
    <n v="349"/>
    <n v="1745"/>
  </r>
  <r>
    <x v="20"/>
    <x v="3"/>
    <s v="Serviço"/>
    <x v="0"/>
    <x v="1"/>
    <x v="0"/>
    <x v="2"/>
    <s v="Eduardo"/>
    <n v="5"/>
    <n v="1999"/>
    <n v="9995"/>
  </r>
  <r>
    <x v="129"/>
    <x v="0"/>
    <s v="Console"/>
    <x v="1"/>
    <x v="2"/>
    <x v="0"/>
    <x v="3"/>
    <s v="Eduardo"/>
    <n v="3"/>
    <n v="349"/>
    <n v="1047"/>
  </r>
  <r>
    <x v="130"/>
    <x v="2"/>
    <s v="Acessório"/>
    <x v="2"/>
    <x v="3"/>
    <x v="0"/>
    <x v="1"/>
    <s v="Bruno"/>
    <n v="4"/>
    <n v="199"/>
    <n v="796"/>
  </r>
  <r>
    <x v="131"/>
    <x v="1"/>
    <s v="Console"/>
    <x v="0"/>
    <x v="0"/>
    <x v="1"/>
    <x v="2"/>
    <s v="Bruno"/>
    <n v="4"/>
    <n v="249"/>
    <n v="996"/>
  </r>
  <r>
    <x v="132"/>
    <x v="3"/>
    <s v="Serviço"/>
    <x v="1"/>
    <x v="1"/>
    <x v="0"/>
    <x v="2"/>
    <s v="Ana"/>
    <n v="2"/>
    <n v="199"/>
    <n v="398"/>
  </r>
  <r>
    <x v="133"/>
    <x v="4"/>
    <s v="Acessório"/>
    <x v="2"/>
    <x v="2"/>
    <x v="0"/>
    <x v="0"/>
    <s v="Eduardo"/>
    <n v="5"/>
    <n v="299"/>
    <n v="1495"/>
  </r>
  <r>
    <x v="50"/>
    <x v="1"/>
    <s v="Console"/>
    <x v="0"/>
    <x v="3"/>
    <x v="0"/>
    <x v="4"/>
    <s v="Eduardo"/>
    <n v="4"/>
    <n v="1999"/>
    <n v="7996"/>
  </r>
  <r>
    <x v="134"/>
    <x v="3"/>
    <s v="Serviço"/>
    <x v="1"/>
    <x v="0"/>
    <x v="0"/>
    <x v="2"/>
    <s v="Eduardo"/>
    <n v="2"/>
    <n v="199"/>
    <n v="398"/>
  </r>
  <r>
    <x v="135"/>
    <x v="2"/>
    <s v="Acessório"/>
    <x v="2"/>
    <x v="1"/>
    <x v="0"/>
    <x v="4"/>
    <s v="Eduardo"/>
    <n v="4"/>
    <n v="249"/>
    <n v="996"/>
  </r>
  <r>
    <x v="136"/>
    <x v="2"/>
    <s v="Acessório"/>
    <x v="0"/>
    <x v="2"/>
    <x v="1"/>
    <x v="0"/>
    <s v="Carlos"/>
    <n v="1"/>
    <n v="199"/>
    <n v="199"/>
  </r>
  <r>
    <x v="137"/>
    <x v="2"/>
    <s v="Acessório"/>
    <x v="1"/>
    <x v="3"/>
    <x v="0"/>
    <x v="1"/>
    <s v="Daniela"/>
    <n v="1"/>
    <n v="2499"/>
    <n v="2499"/>
  </r>
  <r>
    <x v="122"/>
    <x v="0"/>
    <s v="Console"/>
    <x v="0"/>
    <x v="0"/>
    <x v="0"/>
    <x v="4"/>
    <s v="Eduardo"/>
    <n v="3"/>
    <n v="299"/>
    <n v="897"/>
  </r>
  <r>
    <x v="138"/>
    <x v="1"/>
    <s v="Console"/>
    <x v="1"/>
    <x v="1"/>
    <x v="0"/>
    <x v="3"/>
    <s v="Carlos"/>
    <n v="2"/>
    <n v="199"/>
    <n v="398"/>
  </r>
  <r>
    <x v="139"/>
    <x v="4"/>
    <s v="Acessório"/>
    <x v="2"/>
    <x v="2"/>
    <x v="0"/>
    <x v="4"/>
    <s v="Carlos"/>
    <n v="1"/>
    <n v="249"/>
    <n v="249"/>
  </r>
  <r>
    <x v="123"/>
    <x v="1"/>
    <s v="Console"/>
    <x v="0"/>
    <x v="3"/>
    <x v="1"/>
    <x v="2"/>
    <s v="Carlos"/>
    <n v="1"/>
    <n v="2499"/>
    <n v="2499"/>
  </r>
  <r>
    <x v="140"/>
    <x v="4"/>
    <s v="Acessório"/>
    <x v="1"/>
    <x v="0"/>
    <x v="0"/>
    <x v="4"/>
    <s v="Ana"/>
    <n v="3"/>
    <n v="249"/>
    <n v="747"/>
  </r>
  <r>
    <x v="141"/>
    <x v="4"/>
    <s v="Acessório"/>
    <x v="2"/>
    <x v="1"/>
    <x v="0"/>
    <x v="3"/>
    <s v="Eduardo"/>
    <n v="2"/>
    <n v="199"/>
    <n v="398"/>
  </r>
  <r>
    <x v="36"/>
    <x v="1"/>
    <s v="Console"/>
    <x v="0"/>
    <x v="2"/>
    <x v="0"/>
    <x v="0"/>
    <s v="Eduardo"/>
    <n v="5"/>
    <n v="299"/>
    <n v="1495"/>
  </r>
  <r>
    <x v="142"/>
    <x v="3"/>
    <s v="Serviço"/>
    <x v="1"/>
    <x v="3"/>
    <x v="0"/>
    <x v="3"/>
    <s v="Bruno"/>
    <n v="3"/>
    <n v="2499"/>
    <n v="7497"/>
  </r>
  <r>
    <x v="92"/>
    <x v="0"/>
    <s v="Console"/>
    <x v="2"/>
    <x v="0"/>
    <x v="0"/>
    <x v="4"/>
    <s v="Carlos"/>
    <n v="3"/>
    <n v="1999"/>
    <n v="5997"/>
  </r>
  <r>
    <x v="143"/>
    <x v="3"/>
    <s v="Serviço"/>
    <x v="0"/>
    <x v="1"/>
    <x v="1"/>
    <x v="0"/>
    <s v="Ana"/>
    <n v="5"/>
    <n v="249"/>
    <n v="1245"/>
  </r>
  <r>
    <x v="144"/>
    <x v="0"/>
    <s v="Console"/>
    <x v="1"/>
    <x v="2"/>
    <x v="0"/>
    <x v="3"/>
    <s v="Bruno"/>
    <n v="1"/>
    <n v="199"/>
    <n v="199"/>
  </r>
  <r>
    <x v="50"/>
    <x v="1"/>
    <s v="Console"/>
    <x v="0"/>
    <x v="3"/>
    <x v="0"/>
    <x v="4"/>
    <s v="Carlos"/>
    <n v="5"/>
    <n v="199"/>
    <n v="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1BF64-1B29-4EF0-912B-2BA843DA141C}" name="Tabela dinâ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3:B36" firstHeaderRow="1" firstDataRow="1" firstDataCol="1"/>
  <pivotFields count="12">
    <pivotField numFmtId="164"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</pivotFields>
  <rowFields count="1">
    <field x="5"/>
  </rowFields>
  <rowItems count="3">
    <i>
      <x v="1"/>
    </i>
    <i>
      <x v="2"/>
    </i>
    <i t="grand">
      <x/>
    </i>
  </rowItems>
  <colItems count="1">
    <i/>
  </colItems>
  <dataFields count="1">
    <dataField name="Soma de Valor Total" fld="10" baseField="0" baseItem="0" numFmtId="44"/>
  </dataFields>
  <formats count="1">
    <format dxfId="12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BDC45-11EF-40FF-AC31-E58A5DB9AE83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9:B31" firstHeaderRow="1" firstDataRow="1" firstDataCol="1"/>
  <pivotFields count="12">
    <pivotField numFmtId="164"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4"/>
  </rowFields>
  <rowItems count="2">
    <i>
      <x v="1"/>
    </i>
    <i t="grand">
      <x/>
    </i>
  </rowItems>
  <colItems count="1">
    <i/>
  </colItems>
  <dataFields count="1">
    <dataField name="Soma de Valor Total" fld="10" baseField="0" baseItem="0" numFmtId="44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DFF1B-5EDC-440A-9202-D0188334C7C9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25:B27" firstHeaderRow="1" firstDataRow="1" firstDataCol="1"/>
  <pivotFields count="12">
    <pivotField numFmtId="164"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4"/>
  </rowFields>
  <rowItems count="2">
    <i>
      <x/>
    </i>
    <i t="grand">
      <x/>
    </i>
  </rowItems>
  <colItems count="1">
    <i/>
  </colItems>
  <dataFields count="1">
    <dataField name="Soma de Valor Total" fld="10" baseField="0" baseItem="0" numFmtId="44"/>
  </dataFields>
  <formats count="1">
    <format dxfId="14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D14F5-981F-42A9-8FBA-10763CC324E6}" name="Tabela dinâmica1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 chartFormat="21">
  <location ref="A3:B22" firstHeaderRow="1" firstDataRow="1" firstDataCol="1"/>
  <pivotFields count="12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multipleItemSelectionAllowed="1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  <pivotField showAll="0">
      <items count="4">
        <item x="0"/>
        <item x="1"/>
        <item x="2"/>
        <item t="default"/>
      </items>
    </pivotField>
  </pivotFields>
  <rowFields count="2">
    <field x="3"/>
    <field x="1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oma de Valor Total" fld="10" baseField="0" baseItem="0" numFmtId="44"/>
  </dataFields>
  <formats count="1">
    <format dxfId="18">
      <pivotArea outline="0" collapsedLevelsAreSubtotals="1" fieldPosition="0"/>
    </format>
  </formats>
  <chartFormats count="5"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E7C7C-3144-49F3-B148-1528ACC3589C}" name="Tabela dinâmica3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 chartFormat="26">
  <location ref="A12:B26" firstHeaderRow="1" firstDataRow="1" firstDataCol="1"/>
  <pivotFields count="12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  <pivotField axis="axisRow" showAll="0">
      <items count="4">
        <item sd="0" x="0"/>
        <item x="1"/>
        <item sd="0" x="2"/>
        <item t="default"/>
      </items>
    </pivotField>
  </pivotFields>
  <rowFields count="2">
    <field x="11"/>
    <field x="0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oma de Valor Total" fld="10" baseField="0" baseItem="0"/>
  </dataFields>
  <chartFormats count="5"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BE2D8-A397-4FFE-87CF-1530B62AFDFD}" name="Tabela dinâmica2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 chartFormat="21">
  <location ref="A3:B9" firstHeaderRow="1" firstDataRow="1" firstDataCol="1" rowPageCount="1" colPageCount="1"/>
  <pivotFields count="12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6">
        <item x="2"/>
        <item x="3"/>
        <item x="4"/>
        <item x="0"/>
        <item x="1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  <pivotField showAll="0">
      <items count="4">
        <item x="0"/>
        <item x="1"/>
        <item x="2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Soma de Valor Total" fld="10" baseField="0" baseItem="0"/>
  </dataFields>
  <chartFormats count="14"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0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0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0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C2BF54B5-5CC6-4278-8DC6-E60AEEE0BA65}" sourceName="Produto">
  <pivotTables>
    <pivotTable tabId="3" name="Tabela dinâmica2"/>
    <pivotTable tabId="3" name="Tabela dinâmica3"/>
    <pivotTable tabId="4" name="Tabela dinâmica1"/>
  </pivotTables>
  <data>
    <tabular pivotCacheId="1262224826">
      <items count="5">
        <i x="2" s="1"/>
        <i x="3" s="1"/>
        <i x="4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547FD09B-DED0-4747-972B-8A97E0855DA9}" sourceName="Região">
  <pivotTables>
    <pivotTable tabId="3" name="Tabela dinâmica2"/>
    <pivotTable tabId="3" name="Tabela dinâmica3"/>
    <pivotTable tabId="4" name="Tabela dinâmica1"/>
  </pivotTables>
  <data>
    <tabular pivotCacheId="1262224826">
      <items count="5">
        <i x="3" s="1"/>
        <i x="0" s="1"/>
        <i x="2" s="1"/>
        <i x="4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eriodicidade" xr10:uid="{582E96D5-A853-4314-8A6E-B2449C76C497}" sourceName="Periodicidade">
  <pivotTables>
    <pivotTable tabId="4" name="Tabela dinâmica1"/>
    <pivotTable tabId="3" name="Tabela dinâmica2"/>
    <pivotTable tabId="3" name="Tabela dinâmica3"/>
    <pivotTable tabId="4" name="Tabela dinâmica2"/>
    <pivotTable tabId="4" name="Tabela dinâmica3"/>
    <pivotTable tabId="4" name="Tabela dinâmica6"/>
  </pivotTables>
  <data>
    <tabular pivotCacheId="126222482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eriodicidade" xr10:uid="{18921F54-29EB-4C95-A272-5AD059817028}" cache="SegmentaçãodeDados_Periodicidade" caption="Periodicidade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" xr10:uid="{60126B00-CFEB-4B59-90D2-BAD5CB19E219}" cache="SegmentaçãodeDados_Produto" caption="Produto" rowHeight="234950"/>
  <slicer name="Região" xr10:uid="{6DEEA0E9-1C1F-4680-9835-875965724B5E}" cache="SegmentaçãodeDados_Região" caption="Região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 1" xr10:uid="{EE16969F-7CD8-4B74-A54E-AF5303C43393}" cache="SegmentaçãodeDados_Produto" caption="Produto" style="SlicerStyleDark3" rowHeight="234950"/>
  <slicer name="Região 1" xr10:uid="{94FBB4A3-25D1-4C21-94A3-19484D36DB07}" cache="SegmentaçãodeDados_Região" caption="Região" style="SlicerStyleDark3" rowHeight="234950"/>
  <slicer name="Periodicidade 1" xr10:uid="{D1019CEA-9161-4CD2-8C8C-0562EAFF4620}" cache="SegmentaçãodeDados_Periodicidade" caption="Periodicidade" style="SlicerStyleLight6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C75CF-64B4-4851-B7B5-9A4FBBFE78F3}" name="Tabela1" displayName="Tabela1" ref="A1:K181" totalsRowShown="0">
  <autoFilter ref="A1:K181" xr:uid="{2C5C75CF-64B4-4851-B7B5-9A4FBBFE78F3}"/>
  <tableColumns count="11">
    <tableColumn id="1" xr3:uid="{5E8492B9-9893-4326-B5D8-EB0E149B0EFA}" name="Data" dataDxfId="19"/>
    <tableColumn id="2" xr3:uid="{7368FE94-2BAC-4FAC-9C0F-9E0270FE6684}" name="Produto"/>
    <tableColumn id="3" xr3:uid="{F602F971-7592-4585-B29B-26C484FAC95E}" name="Categoria"/>
    <tableColumn id="9" xr3:uid="{DE74DCD7-7F12-4EF6-A587-BAF08B4613C8}" name="Periodicidade"/>
    <tableColumn id="11" xr3:uid="{681DEAAD-08E0-401D-B2A3-F86D23A99642}" name="Tipo de Game Pass"/>
    <tableColumn id="10" xr3:uid="{CFD329D1-48B2-4C30-8935-F585AA6EB5D5}" name="Subcrição? Sim/Não"/>
    <tableColumn id="4" xr3:uid="{1374E87A-44E4-46D3-B402-66E454C76E6C}" name="Região"/>
    <tableColumn id="5" xr3:uid="{719FEF75-4A3C-4E06-9BF9-4AEB1796308C}" name="Vendedor"/>
    <tableColumn id="6" xr3:uid="{6088A523-EC88-4609-8419-8E41034EDD9C}" name="Quantidade"/>
    <tableColumn id="7" xr3:uid="{A432F173-F60D-42E2-820C-F8A1405D2676}" name="Valor Unitário"/>
    <tableColumn id="8" xr3:uid="{F4B57776-B428-4BD1-85B1-2B70FCC52DF1}" name="Valor Total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EE59A321-BEF9-44C8-87A5-3200FA921962}" sourceName="Data">
  <pivotTables>
    <pivotTable tabId="3" name="Tabela dinâmica2"/>
    <pivotTable tabId="3" name="Tabela dinâmica3"/>
    <pivotTable tabId="4" name="Tabela dinâmica1"/>
  </pivotTables>
  <state minimalRefreshVersion="6" lastRefreshVersion="6" pivotCacheId="1262224826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F091946A-8416-4CCB-BBF2-67E209557308}" cache="NativeTimeline_Data" caption="Data" level="2" selectionLevel="2" scrollPosition="2024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1" xr10:uid="{3C594226-A595-476A-BCF4-D9552377FCF0}" cache="NativeTimeline_Data" caption="Data" level="2" selectionLevel="2" scrollPosition="2024-01-01T00:00:00" style="TimeSlicerStyleDark3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microsoft.com/office/2011/relationships/timeline" Target="../timelines/timeline1.xml"/><Relationship Id="rId4" Type="http://schemas.microsoft.com/office/2007/relationships/slicer" Target="../slicers/slicer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microsoft.com/office/2011/relationships/timeline" Target="../timelines/timelin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workbookViewId="0">
      <selection activeCell="F7" sqref="F7:F179"/>
    </sheetView>
  </sheetViews>
  <sheetFormatPr defaultRowHeight="14.4" x14ac:dyDescent="0.3"/>
  <cols>
    <col min="1" max="3" width="18" customWidth="1"/>
    <col min="4" max="6" width="18" style="6" customWidth="1"/>
    <col min="7" max="11" width="18" customWidth="1"/>
    <col min="14" max="14" width="12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s="6" t="s">
        <v>47</v>
      </c>
      <c r="E1" s="6" t="s">
        <v>53</v>
      </c>
      <c r="F1" s="6" t="s">
        <v>54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N1" t="s">
        <v>47</v>
      </c>
    </row>
    <row r="2" spans="1:14" x14ac:dyDescent="0.3">
      <c r="A2" s="1">
        <v>45648</v>
      </c>
      <c r="B2" t="s">
        <v>8</v>
      </c>
      <c r="C2" t="s">
        <v>9</v>
      </c>
      <c r="D2" s="6" t="s">
        <v>51</v>
      </c>
      <c r="E2" s="6" t="s">
        <v>55</v>
      </c>
      <c r="F2" s="6" t="s">
        <v>59</v>
      </c>
      <c r="G2" t="s">
        <v>10</v>
      </c>
      <c r="H2" t="s">
        <v>11</v>
      </c>
      <c r="I2">
        <v>5</v>
      </c>
      <c r="J2">
        <v>299</v>
      </c>
      <c r="K2">
        <v>1495</v>
      </c>
      <c r="N2" t="s">
        <v>48</v>
      </c>
    </row>
    <row r="3" spans="1:14" x14ac:dyDescent="0.3">
      <c r="A3" s="1">
        <v>45424</v>
      </c>
      <c r="B3" t="s">
        <v>8</v>
      </c>
      <c r="C3" t="s">
        <v>9</v>
      </c>
      <c r="D3" s="6" t="s">
        <v>52</v>
      </c>
      <c r="E3" s="6" t="s">
        <v>56</v>
      </c>
      <c r="F3" s="6" t="s">
        <v>59</v>
      </c>
      <c r="G3" t="s">
        <v>12</v>
      </c>
      <c r="H3" t="s">
        <v>13</v>
      </c>
      <c r="I3">
        <v>2</v>
      </c>
      <c r="J3">
        <v>349</v>
      </c>
      <c r="K3">
        <v>698</v>
      </c>
      <c r="N3" t="s">
        <v>49</v>
      </c>
    </row>
    <row r="4" spans="1:14" x14ac:dyDescent="0.3">
      <c r="A4" s="1">
        <v>45590</v>
      </c>
      <c r="B4" t="s">
        <v>14</v>
      </c>
      <c r="C4" t="s">
        <v>9</v>
      </c>
      <c r="D4" s="6" t="s">
        <v>50</v>
      </c>
      <c r="E4" s="6" t="s">
        <v>57</v>
      </c>
      <c r="F4" s="6" t="s">
        <v>59</v>
      </c>
      <c r="G4" t="s">
        <v>12</v>
      </c>
      <c r="H4" t="s">
        <v>15</v>
      </c>
      <c r="I4">
        <v>1</v>
      </c>
      <c r="J4">
        <v>349</v>
      </c>
      <c r="K4">
        <v>349</v>
      </c>
      <c r="N4" t="s">
        <v>50</v>
      </c>
    </row>
    <row r="5" spans="1:14" x14ac:dyDescent="0.3">
      <c r="A5" s="1">
        <v>45566</v>
      </c>
      <c r="B5" t="s">
        <v>16</v>
      </c>
      <c r="C5" t="s">
        <v>17</v>
      </c>
      <c r="D5" s="6" t="s">
        <v>51</v>
      </c>
      <c r="E5" s="6" t="s">
        <v>58</v>
      </c>
      <c r="F5" s="6" t="s">
        <v>59</v>
      </c>
      <c r="G5" t="s">
        <v>10</v>
      </c>
      <c r="H5" t="s">
        <v>18</v>
      </c>
      <c r="I5">
        <v>5</v>
      </c>
      <c r="J5">
        <v>199</v>
      </c>
      <c r="K5">
        <v>995</v>
      </c>
    </row>
    <row r="6" spans="1:14" x14ac:dyDescent="0.3">
      <c r="A6" s="1">
        <v>45422</v>
      </c>
      <c r="B6" t="s">
        <v>8</v>
      </c>
      <c r="C6" t="s">
        <v>9</v>
      </c>
      <c r="D6" s="6" t="s">
        <v>52</v>
      </c>
      <c r="E6" s="6" t="s">
        <v>55</v>
      </c>
      <c r="F6" s="6" t="s">
        <v>59</v>
      </c>
      <c r="G6" t="s">
        <v>19</v>
      </c>
      <c r="H6" t="s">
        <v>13</v>
      </c>
      <c r="I6">
        <v>2</v>
      </c>
      <c r="J6">
        <v>1999</v>
      </c>
      <c r="K6">
        <v>3998</v>
      </c>
    </row>
    <row r="7" spans="1:14" x14ac:dyDescent="0.3">
      <c r="A7" s="1">
        <v>45330</v>
      </c>
      <c r="B7" t="s">
        <v>20</v>
      </c>
      <c r="C7" t="s">
        <v>21</v>
      </c>
      <c r="D7" s="6" t="s">
        <v>50</v>
      </c>
      <c r="E7" s="6" t="s">
        <v>56</v>
      </c>
      <c r="F7" s="6" t="s">
        <v>61</v>
      </c>
      <c r="G7" t="s">
        <v>22</v>
      </c>
      <c r="H7" t="s">
        <v>18</v>
      </c>
      <c r="I7">
        <v>2</v>
      </c>
      <c r="J7">
        <v>249</v>
      </c>
      <c r="K7">
        <v>498</v>
      </c>
    </row>
    <row r="8" spans="1:14" x14ac:dyDescent="0.3">
      <c r="A8" s="1">
        <v>45397</v>
      </c>
      <c r="B8" t="s">
        <v>20</v>
      </c>
      <c r="C8" t="s">
        <v>21</v>
      </c>
      <c r="D8" s="6" t="s">
        <v>51</v>
      </c>
      <c r="E8" s="6" t="s">
        <v>57</v>
      </c>
      <c r="F8" s="6" t="s">
        <v>59</v>
      </c>
      <c r="G8" t="s">
        <v>22</v>
      </c>
      <c r="H8" t="s">
        <v>13</v>
      </c>
      <c r="I8">
        <v>1</v>
      </c>
      <c r="J8">
        <v>349</v>
      </c>
      <c r="K8">
        <v>349</v>
      </c>
    </row>
    <row r="9" spans="1:14" x14ac:dyDescent="0.3">
      <c r="A9" s="1">
        <v>45413</v>
      </c>
      <c r="B9" t="s">
        <v>23</v>
      </c>
      <c r="C9" t="s">
        <v>17</v>
      </c>
      <c r="D9" s="6" t="s">
        <v>52</v>
      </c>
      <c r="E9" s="6" t="s">
        <v>58</v>
      </c>
      <c r="F9" s="6" t="s">
        <v>59</v>
      </c>
      <c r="G9" t="s">
        <v>22</v>
      </c>
      <c r="H9" t="s">
        <v>18</v>
      </c>
      <c r="I9">
        <v>2</v>
      </c>
      <c r="J9">
        <v>299</v>
      </c>
      <c r="K9">
        <v>598</v>
      </c>
    </row>
    <row r="10" spans="1:14" x14ac:dyDescent="0.3">
      <c r="A10" s="1">
        <v>45463</v>
      </c>
      <c r="B10" t="s">
        <v>20</v>
      </c>
      <c r="C10" t="s">
        <v>21</v>
      </c>
      <c r="D10" s="6" t="s">
        <v>50</v>
      </c>
      <c r="E10" s="6" t="s">
        <v>55</v>
      </c>
      <c r="F10" s="6" t="s">
        <v>59</v>
      </c>
      <c r="G10" t="s">
        <v>10</v>
      </c>
      <c r="H10" t="s">
        <v>18</v>
      </c>
      <c r="I10">
        <v>3</v>
      </c>
      <c r="J10">
        <v>349</v>
      </c>
      <c r="K10">
        <v>1047</v>
      </c>
    </row>
    <row r="11" spans="1:14" x14ac:dyDescent="0.3">
      <c r="A11" s="1">
        <v>45372</v>
      </c>
      <c r="B11" t="s">
        <v>8</v>
      </c>
      <c r="C11" t="s">
        <v>9</v>
      </c>
      <c r="D11" s="6" t="s">
        <v>51</v>
      </c>
      <c r="E11" s="6" t="s">
        <v>56</v>
      </c>
      <c r="F11" s="6" t="s">
        <v>59</v>
      </c>
      <c r="G11" t="s">
        <v>22</v>
      </c>
      <c r="H11" t="s">
        <v>18</v>
      </c>
      <c r="I11">
        <v>4</v>
      </c>
      <c r="J11">
        <v>299</v>
      </c>
      <c r="K11">
        <v>1196</v>
      </c>
    </row>
    <row r="12" spans="1:14" x14ac:dyDescent="0.3">
      <c r="A12" s="1">
        <v>45393</v>
      </c>
      <c r="B12" t="s">
        <v>14</v>
      </c>
      <c r="C12" t="s">
        <v>9</v>
      </c>
      <c r="D12" s="6" t="s">
        <v>52</v>
      </c>
      <c r="E12" s="6" t="s">
        <v>57</v>
      </c>
      <c r="F12" s="6" t="s">
        <v>61</v>
      </c>
      <c r="G12" t="s">
        <v>24</v>
      </c>
      <c r="H12" t="s">
        <v>15</v>
      </c>
      <c r="I12">
        <v>1</v>
      </c>
      <c r="J12">
        <v>299</v>
      </c>
      <c r="K12">
        <v>299</v>
      </c>
    </row>
    <row r="13" spans="1:14" x14ac:dyDescent="0.3">
      <c r="A13" s="1">
        <v>45562</v>
      </c>
      <c r="B13" t="s">
        <v>16</v>
      </c>
      <c r="C13" t="s">
        <v>17</v>
      </c>
      <c r="D13" s="6" t="s">
        <v>50</v>
      </c>
      <c r="E13" s="6" t="s">
        <v>58</v>
      </c>
      <c r="F13" s="6" t="s">
        <v>59</v>
      </c>
      <c r="G13" t="s">
        <v>24</v>
      </c>
      <c r="H13" t="s">
        <v>13</v>
      </c>
      <c r="I13">
        <v>1</v>
      </c>
      <c r="J13">
        <v>349</v>
      </c>
      <c r="K13">
        <v>349</v>
      </c>
    </row>
    <row r="14" spans="1:14" x14ac:dyDescent="0.3">
      <c r="A14" s="1">
        <v>45293</v>
      </c>
      <c r="B14" t="s">
        <v>20</v>
      </c>
      <c r="C14" t="s">
        <v>21</v>
      </c>
      <c r="D14" s="6" t="s">
        <v>51</v>
      </c>
      <c r="E14" s="6" t="s">
        <v>55</v>
      </c>
      <c r="F14" s="6" t="s">
        <v>59</v>
      </c>
      <c r="G14" t="s">
        <v>12</v>
      </c>
      <c r="H14" t="s">
        <v>11</v>
      </c>
      <c r="I14">
        <v>5</v>
      </c>
      <c r="J14">
        <v>249</v>
      </c>
      <c r="K14">
        <v>1245</v>
      </c>
    </row>
    <row r="15" spans="1:14" x14ac:dyDescent="0.3">
      <c r="A15" s="1">
        <v>45650</v>
      </c>
      <c r="B15" t="s">
        <v>23</v>
      </c>
      <c r="C15" t="s">
        <v>17</v>
      </c>
      <c r="D15" s="6" t="s">
        <v>52</v>
      </c>
      <c r="E15" s="6" t="s">
        <v>56</v>
      </c>
      <c r="F15" s="6" t="s">
        <v>59</v>
      </c>
      <c r="G15" t="s">
        <v>10</v>
      </c>
      <c r="H15" t="s">
        <v>13</v>
      </c>
      <c r="I15">
        <v>1</v>
      </c>
      <c r="J15">
        <v>2499</v>
      </c>
      <c r="K15">
        <v>2499</v>
      </c>
    </row>
    <row r="16" spans="1:14" x14ac:dyDescent="0.3">
      <c r="A16" s="1">
        <v>45344</v>
      </c>
      <c r="B16" t="s">
        <v>14</v>
      </c>
      <c r="C16" t="s">
        <v>9</v>
      </c>
      <c r="D16" s="6" t="s">
        <v>51</v>
      </c>
      <c r="E16" s="6" t="s">
        <v>57</v>
      </c>
      <c r="F16" s="6" t="s">
        <v>59</v>
      </c>
      <c r="G16" t="s">
        <v>19</v>
      </c>
      <c r="H16" t="s">
        <v>13</v>
      </c>
      <c r="I16">
        <v>5</v>
      </c>
      <c r="J16">
        <v>299</v>
      </c>
      <c r="K16">
        <v>1495</v>
      </c>
    </row>
    <row r="17" spans="1:11" x14ac:dyDescent="0.3">
      <c r="A17" s="1">
        <v>45589</v>
      </c>
      <c r="B17" t="s">
        <v>20</v>
      </c>
      <c r="C17" t="s">
        <v>21</v>
      </c>
      <c r="D17" s="6" t="s">
        <v>52</v>
      </c>
      <c r="E17" s="6" t="s">
        <v>58</v>
      </c>
      <c r="F17" s="6" t="s">
        <v>59</v>
      </c>
      <c r="G17" t="s">
        <v>22</v>
      </c>
      <c r="H17" t="s">
        <v>15</v>
      </c>
      <c r="I17">
        <v>2</v>
      </c>
      <c r="J17">
        <v>299</v>
      </c>
      <c r="K17">
        <v>598</v>
      </c>
    </row>
    <row r="18" spans="1:11" x14ac:dyDescent="0.3">
      <c r="A18" s="1">
        <v>45593</v>
      </c>
      <c r="B18" t="s">
        <v>16</v>
      </c>
      <c r="C18" t="s">
        <v>17</v>
      </c>
      <c r="D18" s="6" t="s">
        <v>50</v>
      </c>
      <c r="E18" s="6" t="s">
        <v>55</v>
      </c>
      <c r="F18" s="6" t="s">
        <v>61</v>
      </c>
      <c r="G18" t="s">
        <v>10</v>
      </c>
      <c r="H18" t="s">
        <v>15</v>
      </c>
      <c r="I18">
        <v>3</v>
      </c>
      <c r="J18">
        <v>299</v>
      </c>
      <c r="K18">
        <v>897</v>
      </c>
    </row>
    <row r="19" spans="1:11" x14ac:dyDescent="0.3">
      <c r="A19" s="1">
        <v>45576</v>
      </c>
      <c r="B19" t="s">
        <v>23</v>
      </c>
      <c r="C19" t="s">
        <v>17</v>
      </c>
      <c r="D19" s="6" t="s">
        <v>51</v>
      </c>
      <c r="E19" s="6" t="s">
        <v>56</v>
      </c>
      <c r="F19" s="6" t="s">
        <v>59</v>
      </c>
      <c r="G19" t="s">
        <v>22</v>
      </c>
      <c r="H19" t="s">
        <v>11</v>
      </c>
      <c r="I19">
        <v>2</v>
      </c>
      <c r="J19">
        <v>199</v>
      </c>
      <c r="K19">
        <v>398</v>
      </c>
    </row>
    <row r="20" spans="1:11" x14ac:dyDescent="0.3">
      <c r="A20" s="1">
        <v>45580</v>
      </c>
      <c r="B20" t="s">
        <v>8</v>
      </c>
      <c r="C20" t="s">
        <v>9</v>
      </c>
      <c r="D20" s="6" t="s">
        <v>52</v>
      </c>
      <c r="E20" s="6" t="s">
        <v>57</v>
      </c>
      <c r="F20" s="6" t="s">
        <v>59</v>
      </c>
      <c r="G20" t="s">
        <v>10</v>
      </c>
      <c r="H20" t="s">
        <v>11</v>
      </c>
      <c r="I20">
        <v>2</v>
      </c>
      <c r="J20">
        <v>299</v>
      </c>
      <c r="K20">
        <v>598</v>
      </c>
    </row>
    <row r="21" spans="1:11" x14ac:dyDescent="0.3">
      <c r="A21" s="1">
        <v>45304</v>
      </c>
      <c r="B21" t="s">
        <v>16</v>
      </c>
      <c r="C21" t="s">
        <v>17</v>
      </c>
      <c r="D21" s="6" t="s">
        <v>50</v>
      </c>
      <c r="E21" s="6" t="s">
        <v>58</v>
      </c>
      <c r="F21" s="6" t="s">
        <v>59</v>
      </c>
      <c r="G21" t="s">
        <v>12</v>
      </c>
      <c r="H21" t="s">
        <v>11</v>
      </c>
      <c r="I21">
        <v>5</v>
      </c>
      <c r="J21">
        <v>349</v>
      </c>
      <c r="K21">
        <v>1745</v>
      </c>
    </row>
    <row r="22" spans="1:11" x14ac:dyDescent="0.3">
      <c r="A22" s="1">
        <v>45561</v>
      </c>
      <c r="B22" t="s">
        <v>20</v>
      </c>
      <c r="C22" t="s">
        <v>21</v>
      </c>
      <c r="D22" s="6" t="s">
        <v>51</v>
      </c>
      <c r="E22" s="6" t="s">
        <v>55</v>
      </c>
      <c r="F22" s="6" t="s">
        <v>59</v>
      </c>
      <c r="G22" t="s">
        <v>22</v>
      </c>
      <c r="H22" t="s">
        <v>11</v>
      </c>
      <c r="I22">
        <v>2</v>
      </c>
      <c r="J22">
        <v>249</v>
      </c>
      <c r="K22">
        <v>498</v>
      </c>
    </row>
    <row r="23" spans="1:11" x14ac:dyDescent="0.3">
      <c r="A23" s="1">
        <v>45494</v>
      </c>
      <c r="B23" t="s">
        <v>14</v>
      </c>
      <c r="C23" t="s">
        <v>9</v>
      </c>
      <c r="D23" s="6" t="s">
        <v>52</v>
      </c>
      <c r="E23" s="6" t="s">
        <v>56</v>
      </c>
      <c r="F23" s="6" t="s">
        <v>61</v>
      </c>
      <c r="G23" t="s">
        <v>24</v>
      </c>
      <c r="H23" t="s">
        <v>18</v>
      </c>
      <c r="I23">
        <v>5</v>
      </c>
      <c r="J23">
        <v>249</v>
      </c>
      <c r="K23">
        <v>1245</v>
      </c>
    </row>
    <row r="24" spans="1:11" x14ac:dyDescent="0.3">
      <c r="A24" s="1">
        <v>45521</v>
      </c>
      <c r="B24" t="s">
        <v>23</v>
      </c>
      <c r="C24" t="s">
        <v>17</v>
      </c>
      <c r="D24" s="6" t="s">
        <v>50</v>
      </c>
      <c r="E24" s="6" t="s">
        <v>57</v>
      </c>
      <c r="F24" s="6" t="s">
        <v>59</v>
      </c>
      <c r="G24" t="s">
        <v>19</v>
      </c>
      <c r="H24" t="s">
        <v>25</v>
      </c>
      <c r="I24">
        <v>4</v>
      </c>
      <c r="J24">
        <v>199</v>
      </c>
      <c r="K24">
        <v>796</v>
      </c>
    </row>
    <row r="25" spans="1:11" x14ac:dyDescent="0.3">
      <c r="A25" s="1">
        <v>45445</v>
      </c>
      <c r="B25" t="s">
        <v>20</v>
      </c>
      <c r="C25" t="s">
        <v>21</v>
      </c>
      <c r="D25" s="6" t="s">
        <v>51</v>
      </c>
      <c r="E25" s="6" t="s">
        <v>58</v>
      </c>
      <c r="F25" s="6" t="s">
        <v>59</v>
      </c>
      <c r="G25" t="s">
        <v>10</v>
      </c>
      <c r="H25" t="s">
        <v>18</v>
      </c>
      <c r="I25">
        <v>5</v>
      </c>
      <c r="J25">
        <v>249</v>
      </c>
      <c r="K25">
        <v>1245</v>
      </c>
    </row>
    <row r="26" spans="1:11" x14ac:dyDescent="0.3">
      <c r="A26" s="1">
        <v>45349</v>
      </c>
      <c r="B26" t="s">
        <v>20</v>
      </c>
      <c r="C26" t="s">
        <v>21</v>
      </c>
      <c r="D26" s="6" t="s">
        <v>52</v>
      </c>
      <c r="E26" s="6" t="s">
        <v>55</v>
      </c>
      <c r="F26" s="6" t="s">
        <v>59</v>
      </c>
      <c r="G26" t="s">
        <v>12</v>
      </c>
      <c r="H26" t="s">
        <v>15</v>
      </c>
      <c r="I26">
        <v>2</v>
      </c>
      <c r="J26">
        <v>299</v>
      </c>
      <c r="K26">
        <v>598</v>
      </c>
    </row>
    <row r="27" spans="1:11" x14ac:dyDescent="0.3">
      <c r="A27" s="1">
        <v>45599</v>
      </c>
      <c r="B27" t="s">
        <v>14</v>
      </c>
      <c r="C27" t="s">
        <v>9</v>
      </c>
      <c r="D27" s="6" t="s">
        <v>51</v>
      </c>
      <c r="E27" s="6" t="s">
        <v>56</v>
      </c>
      <c r="F27" s="6" t="s">
        <v>59</v>
      </c>
      <c r="G27" t="s">
        <v>22</v>
      </c>
      <c r="H27" t="s">
        <v>11</v>
      </c>
      <c r="I27">
        <v>1</v>
      </c>
      <c r="J27">
        <v>1999</v>
      </c>
      <c r="K27">
        <v>1999</v>
      </c>
    </row>
    <row r="28" spans="1:11" x14ac:dyDescent="0.3">
      <c r="A28" s="1">
        <v>45634</v>
      </c>
      <c r="B28" t="s">
        <v>16</v>
      </c>
      <c r="C28" t="s">
        <v>17</v>
      </c>
      <c r="D28" s="6" t="s">
        <v>52</v>
      </c>
      <c r="E28" s="6" t="s">
        <v>57</v>
      </c>
      <c r="F28" s="6" t="s">
        <v>59</v>
      </c>
      <c r="G28" t="s">
        <v>12</v>
      </c>
      <c r="H28" t="s">
        <v>18</v>
      </c>
      <c r="I28">
        <v>4</v>
      </c>
      <c r="J28">
        <v>199</v>
      </c>
      <c r="K28">
        <v>796</v>
      </c>
    </row>
    <row r="29" spans="1:11" x14ac:dyDescent="0.3">
      <c r="A29" s="1">
        <v>45387</v>
      </c>
      <c r="B29" t="s">
        <v>23</v>
      </c>
      <c r="C29" t="s">
        <v>17</v>
      </c>
      <c r="D29" s="6" t="s">
        <v>50</v>
      </c>
      <c r="E29" s="6" t="s">
        <v>58</v>
      </c>
      <c r="F29" s="6" t="s">
        <v>61</v>
      </c>
      <c r="G29" t="s">
        <v>22</v>
      </c>
      <c r="H29" t="s">
        <v>11</v>
      </c>
      <c r="I29">
        <v>5</v>
      </c>
      <c r="J29">
        <v>2499</v>
      </c>
      <c r="K29">
        <v>12495</v>
      </c>
    </row>
    <row r="30" spans="1:11" x14ac:dyDescent="0.3">
      <c r="A30" s="1">
        <v>45642</v>
      </c>
      <c r="B30" t="s">
        <v>20</v>
      </c>
      <c r="C30" t="s">
        <v>21</v>
      </c>
      <c r="D30" s="6" t="s">
        <v>51</v>
      </c>
      <c r="E30" s="6" t="s">
        <v>55</v>
      </c>
      <c r="F30" s="6" t="s">
        <v>59</v>
      </c>
      <c r="G30" t="s">
        <v>19</v>
      </c>
      <c r="H30" t="s">
        <v>18</v>
      </c>
      <c r="I30">
        <v>3</v>
      </c>
      <c r="J30">
        <v>1999</v>
      </c>
      <c r="K30">
        <v>5997</v>
      </c>
    </row>
    <row r="31" spans="1:11" x14ac:dyDescent="0.3">
      <c r="A31" s="1">
        <v>45408</v>
      </c>
      <c r="B31" t="s">
        <v>14</v>
      </c>
      <c r="C31" t="s">
        <v>9</v>
      </c>
      <c r="D31" s="6" t="s">
        <v>52</v>
      </c>
      <c r="E31" s="6" t="s">
        <v>56</v>
      </c>
      <c r="F31" s="6" t="s">
        <v>59</v>
      </c>
      <c r="G31" t="s">
        <v>19</v>
      </c>
      <c r="H31" t="s">
        <v>15</v>
      </c>
      <c r="I31">
        <v>3</v>
      </c>
      <c r="J31">
        <v>1999</v>
      </c>
      <c r="K31">
        <v>5997</v>
      </c>
    </row>
    <row r="32" spans="1:11" x14ac:dyDescent="0.3">
      <c r="A32" s="1">
        <v>45424</v>
      </c>
      <c r="B32" t="s">
        <v>8</v>
      </c>
      <c r="C32" t="s">
        <v>9</v>
      </c>
      <c r="D32" s="6" t="s">
        <v>50</v>
      </c>
      <c r="E32" s="6" t="s">
        <v>57</v>
      </c>
      <c r="F32" s="6" t="s">
        <v>59</v>
      </c>
      <c r="G32" t="s">
        <v>24</v>
      </c>
      <c r="H32" t="s">
        <v>15</v>
      </c>
      <c r="I32">
        <v>4</v>
      </c>
      <c r="J32">
        <v>349</v>
      </c>
      <c r="K32">
        <v>1396</v>
      </c>
    </row>
    <row r="33" spans="1:11" x14ac:dyDescent="0.3">
      <c r="A33" s="1">
        <v>45369</v>
      </c>
      <c r="B33" t="s">
        <v>16</v>
      </c>
      <c r="C33" t="s">
        <v>17</v>
      </c>
      <c r="D33" s="6" t="s">
        <v>51</v>
      </c>
      <c r="E33" s="6" t="s">
        <v>58</v>
      </c>
      <c r="F33" s="6" t="s">
        <v>59</v>
      </c>
      <c r="G33" t="s">
        <v>22</v>
      </c>
      <c r="H33" t="s">
        <v>18</v>
      </c>
      <c r="I33">
        <v>3</v>
      </c>
      <c r="J33">
        <v>2499</v>
      </c>
      <c r="K33">
        <v>7497</v>
      </c>
    </row>
    <row r="34" spans="1:11" x14ac:dyDescent="0.3">
      <c r="A34" s="1">
        <v>45426</v>
      </c>
      <c r="B34" t="s">
        <v>20</v>
      </c>
      <c r="C34" t="s">
        <v>21</v>
      </c>
      <c r="D34" s="6" t="s">
        <v>52</v>
      </c>
      <c r="E34" s="6" t="s">
        <v>55</v>
      </c>
      <c r="F34" s="6" t="s">
        <v>59</v>
      </c>
      <c r="G34" t="s">
        <v>10</v>
      </c>
      <c r="H34" t="s">
        <v>18</v>
      </c>
      <c r="I34">
        <v>3</v>
      </c>
      <c r="J34">
        <v>1999</v>
      </c>
      <c r="K34">
        <v>5997</v>
      </c>
    </row>
    <row r="35" spans="1:11" x14ac:dyDescent="0.3">
      <c r="A35" s="1">
        <v>45549</v>
      </c>
      <c r="B35" t="s">
        <v>16</v>
      </c>
      <c r="C35" t="s">
        <v>17</v>
      </c>
      <c r="D35" s="6" t="s">
        <v>50</v>
      </c>
      <c r="E35" s="6" t="s">
        <v>56</v>
      </c>
      <c r="F35" s="6" t="s">
        <v>59</v>
      </c>
      <c r="G35" t="s">
        <v>10</v>
      </c>
      <c r="H35" t="s">
        <v>15</v>
      </c>
      <c r="I35">
        <v>3</v>
      </c>
      <c r="J35">
        <v>199</v>
      </c>
      <c r="K35">
        <v>597</v>
      </c>
    </row>
    <row r="36" spans="1:11" x14ac:dyDescent="0.3">
      <c r="A36" s="1">
        <v>45449</v>
      </c>
      <c r="B36" t="s">
        <v>23</v>
      </c>
      <c r="C36" t="s">
        <v>17</v>
      </c>
      <c r="D36" s="6" t="s">
        <v>51</v>
      </c>
      <c r="E36" s="6" t="s">
        <v>57</v>
      </c>
      <c r="F36" s="6" t="s">
        <v>59</v>
      </c>
      <c r="G36" t="s">
        <v>22</v>
      </c>
      <c r="H36" t="s">
        <v>15</v>
      </c>
      <c r="I36">
        <v>4</v>
      </c>
      <c r="J36">
        <v>299</v>
      </c>
      <c r="K36">
        <v>1196</v>
      </c>
    </row>
    <row r="37" spans="1:11" x14ac:dyDescent="0.3">
      <c r="A37" s="1">
        <v>45480</v>
      </c>
      <c r="B37" t="s">
        <v>20</v>
      </c>
      <c r="C37" t="s">
        <v>21</v>
      </c>
      <c r="D37" s="6" t="s">
        <v>52</v>
      </c>
      <c r="E37" s="6" t="s">
        <v>58</v>
      </c>
      <c r="F37" s="6" t="s">
        <v>61</v>
      </c>
      <c r="G37" t="s">
        <v>19</v>
      </c>
      <c r="H37" t="s">
        <v>13</v>
      </c>
      <c r="I37">
        <v>5</v>
      </c>
      <c r="J37">
        <v>199</v>
      </c>
      <c r="K37">
        <v>995</v>
      </c>
    </row>
    <row r="38" spans="1:11" x14ac:dyDescent="0.3">
      <c r="A38" s="1">
        <v>45584</v>
      </c>
      <c r="B38" t="s">
        <v>16</v>
      </c>
      <c r="C38" t="s">
        <v>17</v>
      </c>
      <c r="D38" s="6" t="s">
        <v>51</v>
      </c>
      <c r="E38" s="6" t="s">
        <v>55</v>
      </c>
      <c r="F38" s="6" t="s">
        <v>59</v>
      </c>
      <c r="G38" t="s">
        <v>12</v>
      </c>
      <c r="H38" t="s">
        <v>13</v>
      </c>
      <c r="I38">
        <v>2</v>
      </c>
      <c r="J38">
        <v>349</v>
      </c>
      <c r="K38">
        <v>698</v>
      </c>
    </row>
    <row r="39" spans="1:11" x14ac:dyDescent="0.3">
      <c r="A39" s="1">
        <v>45422</v>
      </c>
      <c r="B39" t="s">
        <v>14</v>
      </c>
      <c r="C39" t="s">
        <v>9</v>
      </c>
      <c r="D39" s="6" t="s">
        <v>52</v>
      </c>
      <c r="E39" s="6" t="s">
        <v>56</v>
      </c>
      <c r="F39" s="6" t="s">
        <v>59</v>
      </c>
      <c r="G39" t="s">
        <v>19</v>
      </c>
      <c r="H39" t="s">
        <v>18</v>
      </c>
      <c r="I39">
        <v>5</v>
      </c>
      <c r="J39">
        <v>199</v>
      </c>
      <c r="K39">
        <v>995</v>
      </c>
    </row>
    <row r="40" spans="1:11" x14ac:dyDescent="0.3">
      <c r="A40" s="1">
        <v>45510</v>
      </c>
      <c r="B40" t="s">
        <v>16</v>
      </c>
      <c r="C40" t="s">
        <v>17</v>
      </c>
      <c r="D40" s="6" t="s">
        <v>50</v>
      </c>
      <c r="E40" s="6" t="s">
        <v>57</v>
      </c>
      <c r="F40" s="6" t="s">
        <v>59</v>
      </c>
      <c r="G40" t="s">
        <v>24</v>
      </c>
      <c r="H40" t="s">
        <v>25</v>
      </c>
      <c r="I40">
        <v>1</v>
      </c>
      <c r="J40">
        <v>249</v>
      </c>
      <c r="K40">
        <v>249</v>
      </c>
    </row>
    <row r="41" spans="1:11" x14ac:dyDescent="0.3">
      <c r="A41" s="1">
        <v>45528</v>
      </c>
      <c r="B41" t="s">
        <v>8</v>
      </c>
      <c r="C41" t="s">
        <v>9</v>
      </c>
      <c r="D41" s="6" t="s">
        <v>51</v>
      </c>
      <c r="E41" s="6" t="s">
        <v>58</v>
      </c>
      <c r="F41" s="6" t="s">
        <v>59</v>
      </c>
      <c r="G41" t="s">
        <v>22</v>
      </c>
      <c r="H41" t="s">
        <v>25</v>
      </c>
      <c r="I41">
        <v>1</v>
      </c>
      <c r="J41">
        <v>2499</v>
      </c>
      <c r="K41">
        <v>2499</v>
      </c>
    </row>
    <row r="42" spans="1:11" x14ac:dyDescent="0.3">
      <c r="A42" s="1">
        <v>45506</v>
      </c>
      <c r="B42" t="s">
        <v>14</v>
      </c>
      <c r="C42" t="s">
        <v>9</v>
      </c>
      <c r="D42" s="6" t="s">
        <v>52</v>
      </c>
      <c r="E42" s="6" t="s">
        <v>55</v>
      </c>
      <c r="F42" s="6" t="s">
        <v>61</v>
      </c>
      <c r="G42" t="s">
        <v>22</v>
      </c>
      <c r="H42" t="s">
        <v>13</v>
      </c>
      <c r="I42">
        <v>2</v>
      </c>
      <c r="J42">
        <v>1999</v>
      </c>
      <c r="K42">
        <v>3998</v>
      </c>
    </row>
    <row r="43" spans="1:11" x14ac:dyDescent="0.3">
      <c r="A43" s="1">
        <v>45365</v>
      </c>
      <c r="B43" t="s">
        <v>20</v>
      </c>
      <c r="C43" t="s">
        <v>21</v>
      </c>
      <c r="D43" s="6" t="s">
        <v>50</v>
      </c>
      <c r="E43" s="6" t="s">
        <v>56</v>
      </c>
      <c r="F43" s="6" t="s">
        <v>59</v>
      </c>
      <c r="G43" t="s">
        <v>24</v>
      </c>
      <c r="H43" t="s">
        <v>18</v>
      </c>
      <c r="I43">
        <v>2</v>
      </c>
      <c r="J43">
        <v>199</v>
      </c>
      <c r="K43">
        <v>398</v>
      </c>
    </row>
    <row r="44" spans="1:11" x14ac:dyDescent="0.3">
      <c r="A44" s="1">
        <v>45577</v>
      </c>
      <c r="B44" t="s">
        <v>23</v>
      </c>
      <c r="C44" t="s">
        <v>17</v>
      </c>
      <c r="D44" s="6" t="s">
        <v>51</v>
      </c>
      <c r="E44" s="6" t="s">
        <v>57</v>
      </c>
      <c r="F44" s="6" t="s">
        <v>59</v>
      </c>
      <c r="G44" t="s">
        <v>24</v>
      </c>
      <c r="H44" t="s">
        <v>15</v>
      </c>
      <c r="I44">
        <v>4</v>
      </c>
      <c r="J44">
        <v>349</v>
      </c>
      <c r="K44">
        <v>1396</v>
      </c>
    </row>
    <row r="45" spans="1:11" x14ac:dyDescent="0.3">
      <c r="A45" s="1">
        <v>45602</v>
      </c>
      <c r="B45" t="s">
        <v>14</v>
      </c>
      <c r="C45" t="s">
        <v>9</v>
      </c>
      <c r="D45" s="6" t="s">
        <v>52</v>
      </c>
      <c r="E45" s="6" t="s">
        <v>58</v>
      </c>
      <c r="F45" s="6" t="s">
        <v>59</v>
      </c>
      <c r="G45" t="s">
        <v>10</v>
      </c>
      <c r="H45" t="s">
        <v>25</v>
      </c>
      <c r="I45">
        <v>1</v>
      </c>
      <c r="J45">
        <v>299</v>
      </c>
      <c r="K45">
        <v>299</v>
      </c>
    </row>
    <row r="46" spans="1:11" x14ac:dyDescent="0.3">
      <c r="A46" s="1">
        <v>45501</v>
      </c>
      <c r="B46" t="s">
        <v>16</v>
      </c>
      <c r="C46" t="s">
        <v>17</v>
      </c>
      <c r="D46" s="6" t="s">
        <v>50</v>
      </c>
      <c r="E46" s="6" t="s">
        <v>55</v>
      </c>
      <c r="F46" s="6" t="s">
        <v>59</v>
      </c>
      <c r="G46" t="s">
        <v>22</v>
      </c>
      <c r="H46" t="s">
        <v>15</v>
      </c>
      <c r="I46">
        <v>5</v>
      </c>
      <c r="J46">
        <v>349</v>
      </c>
      <c r="K46">
        <v>1745</v>
      </c>
    </row>
    <row r="47" spans="1:11" x14ac:dyDescent="0.3">
      <c r="A47" s="1">
        <v>45355</v>
      </c>
      <c r="B47" t="s">
        <v>14</v>
      </c>
      <c r="C47" t="s">
        <v>9</v>
      </c>
      <c r="D47" s="6" t="s">
        <v>51</v>
      </c>
      <c r="E47" s="6" t="s">
        <v>56</v>
      </c>
      <c r="F47" s="6" t="s">
        <v>59</v>
      </c>
      <c r="G47" t="s">
        <v>24</v>
      </c>
      <c r="H47" t="s">
        <v>11</v>
      </c>
      <c r="I47">
        <v>4</v>
      </c>
      <c r="J47">
        <v>249</v>
      </c>
      <c r="K47">
        <v>996</v>
      </c>
    </row>
    <row r="48" spans="1:11" x14ac:dyDescent="0.3">
      <c r="A48" s="1">
        <v>45605</v>
      </c>
      <c r="B48" t="s">
        <v>8</v>
      </c>
      <c r="C48" t="s">
        <v>9</v>
      </c>
      <c r="D48" s="6" t="s">
        <v>52</v>
      </c>
      <c r="E48" s="6" t="s">
        <v>57</v>
      </c>
      <c r="F48" s="6" t="s">
        <v>61</v>
      </c>
      <c r="G48" t="s">
        <v>22</v>
      </c>
      <c r="H48" t="s">
        <v>25</v>
      </c>
      <c r="I48">
        <v>3</v>
      </c>
      <c r="J48">
        <v>349</v>
      </c>
      <c r="K48">
        <v>1047</v>
      </c>
    </row>
    <row r="49" spans="1:11" x14ac:dyDescent="0.3">
      <c r="A49" s="1">
        <v>45614</v>
      </c>
      <c r="B49" t="s">
        <v>20</v>
      </c>
      <c r="C49" t="s">
        <v>21</v>
      </c>
      <c r="D49" s="6" t="s">
        <v>51</v>
      </c>
      <c r="E49" s="6" t="s">
        <v>58</v>
      </c>
      <c r="F49" s="6" t="s">
        <v>59</v>
      </c>
      <c r="G49" t="s">
        <v>19</v>
      </c>
      <c r="H49" t="s">
        <v>18</v>
      </c>
      <c r="I49">
        <v>5</v>
      </c>
      <c r="J49">
        <v>299</v>
      </c>
      <c r="K49">
        <v>1495</v>
      </c>
    </row>
    <row r="50" spans="1:11" x14ac:dyDescent="0.3">
      <c r="A50" s="1">
        <v>45366</v>
      </c>
      <c r="B50" t="s">
        <v>8</v>
      </c>
      <c r="C50" t="s">
        <v>9</v>
      </c>
      <c r="D50" s="6" t="s">
        <v>52</v>
      </c>
      <c r="E50" s="6" t="s">
        <v>55</v>
      </c>
      <c r="F50" s="6" t="s">
        <v>59</v>
      </c>
      <c r="G50" t="s">
        <v>24</v>
      </c>
      <c r="H50" t="s">
        <v>11</v>
      </c>
      <c r="I50">
        <v>3</v>
      </c>
      <c r="J50">
        <v>349</v>
      </c>
      <c r="K50">
        <v>1047</v>
      </c>
    </row>
    <row r="51" spans="1:11" x14ac:dyDescent="0.3">
      <c r="A51" s="1">
        <v>45451</v>
      </c>
      <c r="B51" t="s">
        <v>16</v>
      </c>
      <c r="C51" t="s">
        <v>17</v>
      </c>
      <c r="D51" s="6" t="s">
        <v>50</v>
      </c>
      <c r="E51" s="6" t="s">
        <v>56</v>
      </c>
      <c r="F51" s="6" t="s">
        <v>59</v>
      </c>
      <c r="G51" t="s">
        <v>19</v>
      </c>
      <c r="H51" t="s">
        <v>25</v>
      </c>
      <c r="I51">
        <v>5</v>
      </c>
      <c r="J51">
        <v>299</v>
      </c>
      <c r="K51">
        <v>1495</v>
      </c>
    </row>
    <row r="52" spans="1:11" x14ac:dyDescent="0.3">
      <c r="A52" s="1">
        <v>45352</v>
      </c>
      <c r="B52" t="s">
        <v>16</v>
      </c>
      <c r="C52" t="s">
        <v>17</v>
      </c>
      <c r="D52" s="6" t="s">
        <v>51</v>
      </c>
      <c r="E52" s="6" t="s">
        <v>57</v>
      </c>
      <c r="F52" s="6" t="s">
        <v>59</v>
      </c>
      <c r="G52" t="s">
        <v>10</v>
      </c>
      <c r="H52" t="s">
        <v>18</v>
      </c>
      <c r="I52">
        <v>5</v>
      </c>
      <c r="J52">
        <v>199</v>
      </c>
      <c r="K52">
        <v>995</v>
      </c>
    </row>
    <row r="53" spans="1:11" x14ac:dyDescent="0.3">
      <c r="A53" s="1">
        <v>45652</v>
      </c>
      <c r="B53" t="s">
        <v>14</v>
      </c>
      <c r="C53" t="s">
        <v>9</v>
      </c>
      <c r="D53" s="6" t="s">
        <v>52</v>
      </c>
      <c r="E53" s="6" t="s">
        <v>58</v>
      </c>
      <c r="F53" s="6" t="s">
        <v>61</v>
      </c>
      <c r="G53" t="s">
        <v>10</v>
      </c>
      <c r="H53" t="s">
        <v>15</v>
      </c>
      <c r="I53">
        <v>2</v>
      </c>
      <c r="J53">
        <v>1999</v>
      </c>
      <c r="K53">
        <v>3998</v>
      </c>
    </row>
    <row r="54" spans="1:11" x14ac:dyDescent="0.3">
      <c r="A54" s="1">
        <v>45418</v>
      </c>
      <c r="B54" t="s">
        <v>14</v>
      </c>
      <c r="C54" t="s">
        <v>9</v>
      </c>
      <c r="D54" s="6" t="s">
        <v>50</v>
      </c>
      <c r="E54" s="6" t="s">
        <v>55</v>
      </c>
      <c r="F54" s="6" t="s">
        <v>59</v>
      </c>
      <c r="G54" t="s">
        <v>10</v>
      </c>
      <c r="H54" t="s">
        <v>13</v>
      </c>
      <c r="I54">
        <v>1</v>
      </c>
      <c r="J54">
        <v>2499</v>
      </c>
      <c r="K54">
        <v>2499</v>
      </c>
    </row>
    <row r="55" spans="1:11" x14ac:dyDescent="0.3">
      <c r="A55" s="1">
        <v>45536</v>
      </c>
      <c r="B55" t="s">
        <v>23</v>
      </c>
      <c r="C55" t="s">
        <v>17</v>
      </c>
      <c r="D55" s="6" t="s">
        <v>51</v>
      </c>
      <c r="E55" s="6" t="s">
        <v>56</v>
      </c>
      <c r="F55" s="6" t="s">
        <v>59</v>
      </c>
      <c r="G55" t="s">
        <v>10</v>
      </c>
      <c r="H55" t="s">
        <v>18</v>
      </c>
      <c r="I55">
        <v>4</v>
      </c>
      <c r="J55">
        <v>349</v>
      </c>
      <c r="K55">
        <v>1396</v>
      </c>
    </row>
    <row r="56" spans="1:11" x14ac:dyDescent="0.3">
      <c r="A56" s="1">
        <v>45361</v>
      </c>
      <c r="B56" t="s">
        <v>16</v>
      </c>
      <c r="C56" t="s">
        <v>17</v>
      </c>
      <c r="D56" s="6" t="s">
        <v>52</v>
      </c>
      <c r="E56" s="6" t="s">
        <v>57</v>
      </c>
      <c r="F56" s="6" t="s">
        <v>59</v>
      </c>
      <c r="G56" t="s">
        <v>24</v>
      </c>
      <c r="H56" t="s">
        <v>15</v>
      </c>
      <c r="I56">
        <v>2</v>
      </c>
      <c r="J56">
        <v>299</v>
      </c>
      <c r="K56">
        <v>598</v>
      </c>
    </row>
    <row r="57" spans="1:11" x14ac:dyDescent="0.3">
      <c r="A57" s="1">
        <v>45541</v>
      </c>
      <c r="B57" t="s">
        <v>20</v>
      </c>
      <c r="C57" t="s">
        <v>21</v>
      </c>
      <c r="D57" s="6" t="s">
        <v>50</v>
      </c>
      <c r="E57" s="6" t="s">
        <v>58</v>
      </c>
      <c r="F57" s="6" t="s">
        <v>59</v>
      </c>
      <c r="G57" t="s">
        <v>19</v>
      </c>
      <c r="H57" t="s">
        <v>18</v>
      </c>
      <c r="I57">
        <v>2</v>
      </c>
      <c r="J57">
        <v>299</v>
      </c>
      <c r="K57">
        <v>598</v>
      </c>
    </row>
    <row r="58" spans="1:11" x14ac:dyDescent="0.3">
      <c r="A58" s="1">
        <v>45431</v>
      </c>
      <c r="B58" t="s">
        <v>16</v>
      </c>
      <c r="C58" t="s">
        <v>17</v>
      </c>
      <c r="D58" s="6" t="s">
        <v>51</v>
      </c>
      <c r="E58" s="6" t="s">
        <v>55</v>
      </c>
      <c r="F58" s="6" t="s">
        <v>59</v>
      </c>
      <c r="G58" t="s">
        <v>19</v>
      </c>
      <c r="H58" t="s">
        <v>13</v>
      </c>
      <c r="I58">
        <v>2</v>
      </c>
      <c r="J58">
        <v>199</v>
      </c>
      <c r="K58">
        <v>398</v>
      </c>
    </row>
    <row r="59" spans="1:11" x14ac:dyDescent="0.3">
      <c r="A59" s="1">
        <v>45313</v>
      </c>
      <c r="B59" t="s">
        <v>20</v>
      </c>
      <c r="C59" t="s">
        <v>21</v>
      </c>
      <c r="D59" s="6" t="s">
        <v>52</v>
      </c>
      <c r="E59" s="6" t="s">
        <v>56</v>
      </c>
      <c r="F59" s="6" t="s">
        <v>61</v>
      </c>
      <c r="G59" t="s">
        <v>19</v>
      </c>
      <c r="H59" t="s">
        <v>11</v>
      </c>
      <c r="I59">
        <v>1</v>
      </c>
      <c r="J59">
        <v>199</v>
      </c>
      <c r="K59">
        <v>199</v>
      </c>
    </row>
    <row r="60" spans="1:11" x14ac:dyDescent="0.3">
      <c r="A60" s="1">
        <v>45575</v>
      </c>
      <c r="B60" t="s">
        <v>16</v>
      </c>
      <c r="C60" t="s">
        <v>17</v>
      </c>
      <c r="D60" s="6" t="s">
        <v>51</v>
      </c>
      <c r="E60" s="6" t="s">
        <v>57</v>
      </c>
      <c r="F60" s="6" t="s">
        <v>59</v>
      </c>
      <c r="G60" t="s">
        <v>22</v>
      </c>
      <c r="H60" t="s">
        <v>18</v>
      </c>
      <c r="I60">
        <v>5</v>
      </c>
      <c r="J60">
        <v>199</v>
      </c>
      <c r="K60">
        <v>995</v>
      </c>
    </row>
    <row r="61" spans="1:11" x14ac:dyDescent="0.3">
      <c r="A61" s="1">
        <v>45644</v>
      </c>
      <c r="B61" t="s">
        <v>8</v>
      </c>
      <c r="C61" t="s">
        <v>9</v>
      </c>
      <c r="D61" s="6" t="s">
        <v>52</v>
      </c>
      <c r="E61" s="6" t="s">
        <v>58</v>
      </c>
      <c r="F61" s="6" t="s">
        <v>59</v>
      </c>
      <c r="G61" t="s">
        <v>12</v>
      </c>
      <c r="H61" t="s">
        <v>13</v>
      </c>
      <c r="I61">
        <v>5</v>
      </c>
      <c r="J61">
        <v>199</v>
      </c>
      <c r="K61">
        <v>995</v>
      </c>
    </row>
    <row r="62" spans="1:11" x14ac:dyDescent="0.3">
      <c r="A62" s="1">
        <v>45463</v>
      </c>
      <c r="B62" t="s">
        <v>14</v>
      </c>
      <c r="C62" t="s">
        <v>9</v>
      </c>
      <c r="D62" s="6" t="s">
        <v>50</v>
      </c>
      <c r="E62" s="6" t="s">
        <v>55</v>
      </c>
      <c r="F62" s="6" t="s">
        <v>59</v>
      </c>
      <c r="G62" t="s">
        <v>22</v>
      </c>
      <c r="H62" t="s">
        <v>11</v>
      </c>
      <c r="I62">
        <v>3</v>
      </c>
      <c r="J62">
        <v>199</v>
      </c>
      <c r="K62">
        <v>597</v>
      </c>
    </row>
    <row r="63" spans="1:11" x14ac:dyDescent="0.3">
      <c r="A63" s="1">
        <v>45469</v>
      </c>
      <c r="B63" t="s">
        <v>14</v>
      </c>
      <c r="C63" t="s">
        <v>9</v>
      </c>
      <c r="D63" s="6" t="s">
        <v>51</v>
      </c>
      <c r="E63" s="6" t="s">
        <v>56</v>
      </c>
      <c r="F63" s="6" t="s">
        <v>59</v>
      </c>
      <c r="G63" t="s">
        <v>22</v>
      </c>
      <c r="H63" t="s">
        <v>15</v>
      </c>
      <c r="I63">
        <v>3</v>
      </c>
      <c r="J63">
        <v>2499</v>
      </c>
      <c r="K63">
        <v>7497</v>
      </c>
    </row>
    <row r="64" spans="1:11" x14ac:dyDescent="0.3">
      <c r="A64" s="1">
        <v>45352</v>
      </c>
      <c r="B64" t="s">
        <v>23</v>
      </c>
      <c r="C64" t="s">
        <v>17</v>
      </c>
      <c r="D64" s="6" t="s">
        <v>52</v>
      </c>
      <c r="E64" s="6" t="s">
        <v>57</v>
      </c>
      <c r="F64" s="6" t="s">
        <v>59</v>
      </c>
      <c r="G64" t="s">
        <v>12</v>
      </c>
      <c r="H64" t="s">
        <v>11</v>
      </c>
      <c r="I64">
        <v>4</v>
      </c>
      <c r="J64">
        <v>299</v>
      </c>
      <c r="K64">
        <v>1196</v>
      </c>
    </row>
    <row r="65" spans="1:11" x14ac:dyDescent="0.3">
      <c r="A65" s="1">
        <v>45385</v>
      </c>
      <c r="B65" t="s">
        <v>16</v>
      </c>
      <c r="C65" t="s">
        <v>17</v>
      </c>
      <c r="D65" s="6" t="s">
        <v>50</v>
      </c>
      <c r="E65" s="6" t="s">
        <v>58</v>
      </c>
      <c r="F65" s="6" t="s">
        <v>59</v>
      </c>
      <c r="G65" t="s">
        <v>10</v>
      </c>
      <c r="H65" t="s">
        <v>18</v>
      </c>
      <c r="I65">
        <v>5</v>
      </c>
      <c r="J65">
        <v>299</v>
      </c>
      <c r="K65">
        <v>1495</v>
      </c>
    </row>
    <row r="66" spans="1:11" x14ac:dyDescent="0.3">
      <c r="A66" s="1">
        <v>45448</v>
      </c>
      <c r="B66" t="s">
        <v>20</v>
      </c>
      <c r="C66" t="s">
        <v>21</v>
      </c>
      <c r="D66" s="6" t="s">
        <v>51</v>
      </c>
      <c r="E66" s="6" t="s">
        <v>55</v>
      </c>
      <c r="F66" s="6" t="s">
        <v>59</v>
      </c>
      <c r="G66" t="s">
        <v>24</v>
      </c>
      <c r="H66" t="s">
        <v>18</v>
      </c>
      <c r="I66">
        <v>5</v>
      </c>
      <c r="J66">
        <v>2499</v>
      </c>
      <c r="K66">
        <v>12495</v>
      </c>
    </row>
    <row r="67" spans="1:11" x14ac:dyDescent="0.3">
      <c r="A67" s="1">
        <v>45628</v>
      </c>
      <c r="B67" t="s">
        <v>20</v>
      </c>
      <c r="C67" t="s">
        <v>21</v>
      </c>
      <c r="D67" s="6" t="s">
        <v>52</v>
      </c>
      <c r="E67" s="6" t="s">
        <v>56</v>
      </c>
      <c r="F67" s="6" t="s">
        <v>61</v>
      </c>
      <c r="G67" t="s">
        <v>10</v>
      </c>
      <c r="H67" t="s">
        <v>18</v>
      </c>
      <c r="I67">
        <v>1</v>
      </c>
      <c r="J67">
        <v>2499</v>
      </c>
      <c r="K67">
        <v>2499</v>
      </c>
    </row>
    <row r="68" spans="1:11" x14ac:dyDescent="0.3">
      <c r="A68" s="1">
        <v>45438</v>
      </c>
      <c r="B68" t="s">
        <v>20</v>
      </c>
      <c r="C68" t="s">
        <v>21</v>
      </c>
      <c r="D68" s="6" t="s">
        <v>50</v>
      </c>
      <c r="E68" s="6" t="s">
        <v>57</v>
      </c>
      <c r="F68" s="6" t="s">
        <v>59</v>
      </c>
      <c r="G68" t="s">
        <v>12</v>
      </c>
      <c r="H68" t="s">
        <v>11</v>
      </c>
      <c r="I68">
        <v>4</v>
      </c>
      <c r="J68">
        <v>2499</v>
      </c>
      <c r="K68">
        <v>9996</v>
      </c>
    </row>
    <row r="69" spans="1:11" x14ac:dyDescent="0.3">
      <c r="A69" s="1">
        <v>45327</v>
      </c>
      <c r="B69" t="s">
        <v>16</v>
      </c>
      <c r="C69" t="s">
        <v>17</v>
      </c>
      <c r="D69" s="6" t="s">
        <v>51</v>
      </c>
      <c r="E69" s="6" t="s">
        <v>58</v>
      </c>
      <c r="F69" s="6" t="s">
        <v>59</v>
      </c>
      <c r="G69" t="s">
        <v>10</v>
      </c>
      <c r="H69" t="s">
        <v>11</v>
      </c>
      <c r="I69">
        <v>3</v>
      </c>
      <c r="J69">
        <v>2499</v>
      </c>
      <c r="K69">
        <v>7497</v>
      </c>
    </row>
    <row r="70" spans="1:11" x14ac:dyDescent="0.3">
      <c r="A70" s="1">
        <v>45413</v>
      </c>
      <c r="B70" t="s">
        <v>23</v>
      </c>
      <c r="C70" t="s">
        <v>17</v>
      </c>
      <c r="D70" s="6" t="s">
        <v>52</v>
      </c>
      <c r="E70" s="6" t="s">
        <v>55</v>
      </c>
      <c r="F70" s="6" t="s">
        <v>59</v>
      </c>
      <c r="G70" t="s">
        <v>22</v>
      </c>
      <c r="H70" t="s">
        <v>15</v>
      </c>
      <c r="I70">
        <v>3</v>
      </c>
      <c r="J70">
        <v>2499</v>
      </c>
      <c r="K70">
        <v>7497</v>
      </c>
    </row>
    <row r="71" spans="1:11" x14ac:dyDescent="0.3">
      <c r="A71" s="1">
        <v>45475</v>
      </c>
      <c r="B71" t="s">
        <v>20</v>
      </c>
      <c r="C71" t="s">
        <v>21</v>
      </c>
      <c r="D71" s="6" t="s">
        <v>51</v>
      </c>
      <c r="E71" s="6" t="s">
        <v>56</v>
      </c>
      <c r="F71" s="6" t="s">
        <v>59</v>
      </c>
      <c r="G71" t="s">
        <v>22</v>
      </c>
      <c r="H71" t="s">
        <v>18</v>
      </c>
      <c r="I71">
        <v>4</v>
      </c>
      <c r="J71">
        <v>349</v>
      </c>
      <c r="K71">
        <v>1396</v>
      </c>
    </row>
    <row r="72" spans="1:11" x14ac:dyDescent="0.3">
      <c r="A72" s="1">
        <v>45301</v>
      </c>
      <c r="B72" t="s">
        <v>23</v>
      </c>
      <c r="C72" t="s">
        <v>17</v>
      </c>
      <c r="D72" s="6" t="s">
        <v>52</v>
      </c>
      <c r="E72" s="6" t="s">
        <v>57</v>
      </c>
      <c r="F72" s="6" t="s">
        <v>61</v>
      </c>
      <c r="G72" t="s">
        <v>12</v>
      </c>
      <c r="H72" t="s">
        <v>13</v>
      </c>
      <c r="I72">
        <v>4</v>
      </c>
      <c r="J72">
        <v>199</v>
      </c>
      <c r="K72">
        <v>796</v>
      </c>
    </row>
    <row r="73" spans="1:11" x14ac:dyDescent="0.3">
      <c r="A73" s="1">
        <v>45375</v>
      </c>
      <c r="B73" t="s">
        <v>16</v>
      </c>
      <c r="C73" t="s">
        <v>17</v>
      </c>
      <c r="D73" s="6" t="s">
        <v>50</v>
      </c>
      <c r="E73" s="6" t="s">
        <v>58</v>
      </c>
      <c r="F73" s="6" t="s">
        <v>59</v>
      </c>
      <c r="G73" t="s">
        <v>24</v>
      </c>
      <c r="H73" t="s">
        <v>18</v>
      </c>
      <c r="I73">
        <v>1</v>
      </c>
      <c r="J73">
        <v>2499</v>
      </c>
      <c r="K73">
        <v>2499</v>
      </c>
    </row>
    <row r="74" spans="1:11" x14ac:dyDescent="0.3">
      <c r="A74" s="1">
        <v>45301</v>
      </c>
      <c r="B74" t="s">
        <v>20</v>
      </c>
      <c r="C74" t="s">
        <v>21</v>
      </c>
      <c r="D74" s="6" t="s">
        <v>51</v>
      </c>
      <c r="E74" s="6" t="s">
        <v>55</v>
      </c>
      <c r="F74" s="6" t="s">
        <v>59</v>
      </c>
      <c r="G74" t="s">
        <v>22</v>
      </c>
      <c r="H74" t="s">
        <v>15</v>
      </c>
      <c r="I74">
        <v>1</v>
      </c>
      <c r="J74">
        <v>349</v>
      </c>
      <c r="K74">
        <v>349</v>
      </c>
    </row>
    <row r="75" spans="1:11" x14ac:dyDescent="0.3">
      <c r="A75" s="1">
        <v>45539</v>
      </c>
      <c r="B75" t="s">
        <v>16</v>
      </c>
      <c r="C75" t="s">
        <v>17</v>
      </c>
      <c r="D75" s="6" t="s">
        <v>52</v>
      </c>
      <c r="E75" s="6" t="s">
        <v>56</v>
      </c>
      <c r="F75" s="6" t="s">
        <v>59</v>
      </c>
      <c r="G75" t="s">
        <v>22</v>
      </c>
      <c r="H75" t="s">
        <v>18</v>
      </c>
      <c r="I75">
        <v>5</v>
      </c>
      <c r="J75">
        <v>199</v>
      </c>
      <c r="K75">
        <v>995</v>
      </c>
    </row>
    <row r="76" spans="1:11" x14ac:dyDescent="0.3">
      <c r="A76" s="1">
        <v>45391</v>
      </c>
      <c r="B76" t="s">
        <v>23</v>
      </c>
      <c r="C76" t="s">
        <v>17</v>
      </c>
      <c r="D76" s="6" t="s">
        <v>50</v>
      </c>
      <c r="E76" s="6" t="s">
        <v>57</v>
      </c>
      <c r="F76" s="6" t="s">
        <v>59</v>
      </c>
      <c r="G76" t="s">
        <v>24</v>
      </c>
      <c r="H76" t="s">
        <v>25</v>
      </c>
      <c r="I76">
        <v>4</v>
      </c>
      <c r="J76">
        <v>2499</v>
      </c>
      <c r="K76">
        <v>9996</v>
      </c>
    </row>
    <row r="77" spans="1:11" x14ac:dyDescent="0.3">
      <c r="A77" s="1">
        <v>45314</v>
      </c>
      <c r="B77" t="s">
        <v>8</v>
      </c>
      <c r="C77" t="s">
        <v>9</v>
      </c>
      <c r="D77" s="6" t="s">
        <v>51</v>
      </c>
      <c r="E77" s="6" t="s">
        <v>58</v>
      </c>
      <c r="F77" s="6" t="s">
        <v>59</v>
      </c>
      <c r="G77" t="s">
        <v>12</v>
      </c>
      <c r="H77" t="s">
        <v>11</v>
      </c>
      <c r="I77">
        <v>4</v>
      </c>
      <c r="J77">
        <v>249</v>
      </c>
      <c r="K77">
        <v>996</v>
      </c>
    </row>
    <row r="78" spans="1:11" x14ac:dyDescent="0.3">
      <c r="A78" s="1">
        <v>45395</v>
      </c>
      <c r="B78" t="s">
        <v>20</v>
      </c>
      <c r="C78" t="s">
        <v>21</v>
      </c>
      <c r="D78" s="6" t="s">
        <v>52</v>
      </c>
      <c r="E78" s="6" t="s">
        <v>55</v>
      </c>
      <c r="F78" s="6" t="s">
        <v>61</v>
      </c>
      <c r="G78" t="s">
        <v>12</v>
      </c>
      <c r="H78" t="s">
        <v>11</v>
      </c>
      <c r="I78">
        <v>4</v>
      </c>
      <c r="J78">
        <v>2499</v>
      </c>
      <c r="K78">
        <v>9996</v>
      </c>
    </row>
    <row r="79" spans="1:11" x14ac:dyDescent="0.3">
      <c r="A79" s="1">
        <v>45445</v>
      </c>
      <c r="B79" t="s">
        <v>20</v>
      </c>
      <c r="C79" t="s">
        <v>21</v>
      </c>
      <c r="D79" s="6" t="s">
        <v>50</v>
      </c>
      <c r="E79" s="6" t="s">
        <v>56</v>
      </c>
      <c r="F79" s="6" t="s">
        <v>59</v>
      </c>
      <c r="G79" t="s">
        <v>19</v>
      </c>
      <c r="H79" t="s">
        <v>15</v>
      </c>
      <c r="I79">
        <v>1</v>
      </c>
      <c r="J79">
        <v>349</v>
      </c>
      <c r="K79">
        <v>349</v>
      </c>
    </row>
    <row r="80" spans="1:11" x14ac:dyDescent="0.3">
      <c r="A80" s="1">
        <v>45507</v>
      </c>
      <c r="B80" t="s">
        <v>20</v>
      </c>
      <c r="C80" t="s">
        <v>21</v>
      </c>
      <c r="D80" s="6" t="s">
        <v>51</v>
      </c>
      <c r="E80" s="6" t="s">
        <v>57</v>
      </c>
      <c r="F80" s="6" t="s">
        <v>59</v>
      </c>
      <c r="G80" t="s">
        <v>19</v>
      </c>
      <c r="H80" t="s">
        <v>25</v>
      </c>
      <c r="I80">
        <v>5</v>
      </c>
      <c r="J80">
        <v>349</v>
      </c>
      <c r="K80">
        <v>1745</v>
      </c>
    </row>
    <row r="81" spans="1:11" x14ac:dyDescent="0.3">
      <c r="A81" s="1">
        <v>45419</v>
      </c>
      <c r="B81" t="s">
        <v>20</v>
      </c>
      <c r="C81" t="s">
        <v>21</v>
      </c>
      <c r="D81" s="6" t="s">
        <v>52</v>
      </c>
      <c r="E81" s="6" t="s">
        <v>58</v>
      </c>
      <c r="F81" s="6" t="s">
        <v>59</v>
      </c>
      <c r="G81" t="s">
        <v>12</v>
      </c>
      <c r="H81" t="s">
        <v>15</v>
      </c>
      <c r="I81">
        <v>4</v>
      </c>
      <c r="J81">
        <v>199</v>
      </c>
      <c r="K81">
        <v>796</v>
      </c>
    </row>
    <row r="82" spans="1:11" x14ac:dyDescent="0.3">
      <c r="A82" s="1">
        <v>45377</v>
      </c>
      <c r="B82" t="s">
        <v>20</v>
      </c>
      <c r="C82" t="s">
        <v>21</v>
      </c>
      <c r="D82" s="6" t="s">
        <v>51</v>
      </c>
      <c r="E82" s="6" t="s">
        <v>55</v>
      </c>
      <c r="F82" s="6" t="s">
        <v>59</v>
      </c>
      <c r="G82" t="s">
        <v>24</v>
      </c>
      <c r="H82" t="s">
        <v>25</v>
      </c>
      <c r="I82">
        <v>5</v>
      </c>
      <c r="J82">
        <v>249</v>
      </c>
      <c r="K82">
        <v>1245</v>
      </c>
    </row>
    <row r="83" spans="1:11" x14ac:dyDescent="0.3">
      <c r="A83" s="1">
        <v>45551</v>
      </c>
      <c r="B83" t="s">
        <v>23</v>
      </c>
      <c r="C83" t="s">
        <v>17</v>
      </c>
      <c r="D83" s="6" t="s">
        <v>52</v>
      </c>
      <c r="E83" s="6" t="s">
        <v>56</v>
      </c>
      <c r="F83" s="6" t="s">
        <v>61</v>
      </c>
      <c r="G83" t="s">
        <v>22</v>
      </c>
      <c r="H83" t="s">
        <v>25</v>
      </c>
      <c r="I83">
        <v>3</v>
      </c>
      <c r="J83">
        <v>1999</v>
      </c>
      <c r="K83">
        <v>5997</v>
      </c>
    </row>
    <row r="84" spans="1:11" x14ac:dyDescent="0.3">
      <c r="A84" s="1">
        <v>45460</v>
      </c>
      <c r="B84" t="s">
        <v>16</v>
      </c>
      <c r="C84" t="s">
        <v>17</v>
      </c>
      <c r="D84" s="6" t="s">
        <v>50</v>
      </c>
      <c r="E84" s="6" t="s">
        <v>57</v>
      </c>
      <c r="F84" s="6" t="s">
        <v>59</v>
      </c>
      <c r="G84" t="s">
        <v>19</v>
      </c>
      <c r="H84" t="s">
        <v>13</v>
      </c>
      <c r="I84">
        <v>5</v>
      </c>
      <c r="J84">
        <v>349</v>
      </c>
      <c r="K84">
        <v>1745</v>
      </c>
    </row>
    <row r="85" spans="1:11" x14ac:dyDescent="0.3">
      <c r="A85" s="1">
        <v>45583</v>
      </c>
      <c r="B85" t="s">
        <v>14</v>
      </c>
      <c r="C85" t="s">
        <v>9</v>
      </c>
      <c r="D85" s="6" t="s">
        <v>51</v>
      </c>
      <c r="E85" s="6" t="s">
        <v>58</v>
      </c>
      <c r="F85" s="6" t="s">
        <v>59</v>
      </c>
      <c r="G85" t="s">
        <v>10</v>
      </c>
      <c r="H85" t="s">
        <v>15</v>
      </c>
      <c r="I85">
        <v>1</v>
      </c>
      <c r="J85">
        <v>199</v>
      </c>
      <c r="K85">
        <v>199</v>
      </c>
    </row>
    <row r="86" spans="1:11" x14ac:dyDescent="0.3">
      <c r="A86" s="1">
        <v>45298</v>
      </c>
      <c r="B86" t="s">
        <v>20</v>
      </c>
      <c r="C86" t="s">
        <v>21</v>
      </c>
      <c r="D86" s="6" t="s">
        <v>52</v>
      </c>
      <c r="E86" s="6" t="s">
        <v>55</v>
      </c>
      <c r="F86" s="6" t="s">
        <v>59</v>
      </c>
      <c r="G86" t="s">
        <v>19</v>
      </c>
      <c r="H86" t="s">
        <v>18</v>
      </c>
      <c r="I86">
        <v>3</v>
      </c>
      <c r="J86">
        <v>199</v>
      </c>
      <c r="K86">
        <v>597</v>
      </c>
    </row>
    <row r="87" spans="1:11" x14ac:dyDescent="0.3">
      <c r="A87" s="1">
        <v>45445</v>
      </c>
      <c r="B87" t="s">
        <v>8</v>
      </c>
      <c r="C87" t="s">
        <v>9</v>
      </c>
      <c r="D87" s="6" t="s">
        <v>50</v>
      </c>
      <c r="E87" s="6" t="s">
        <v>56</v>
      </c>
      <c r="F87" s="6" t="s">
        <v>59</v>
      </c>
      <c r="G87" t="s">
        <v>19</v>
      </c>
      <c r="H87" t="s">
        <v>15</v>
      </c>
      <c r="I87">
        <v>2</v>
      </c>
      <c r="J87">
        <v>199</v>
      </c>
      <c r="K87">
        <v>398</v>
      </c>
    </row>
    <row r="88" spans="1:11" x14ac:dyDescent="0.3">
      <c r="A88" s="1">
        <v>45458</v>
      </c>
      <c r="B88" t="s">
        <v>20</v>
      </c>
      <c r="C88" t="s">
        <v>21</v>
      </c>
      <c r="D88" s="6" t="s">
        <v>51</v>
      </c>
      <c r="E88" s="6" t="s">
        <v>57</v>
      </c>
      <c r="F88" s="6" t="s">
        <v>59</v>
      </c>
      <c r="G88" t="s">
        <v>22</v>
      </c>
      <c r="H88" t="s">
        <v>25</v>
      </c>
      <c r="I88">
        <v>3</v>
      </c>
      <c r="J88">
        <v>349</v>
      </c>
      <c r="K88">
        <v>1047</v>
      </c>
    </row>
    <row r="89" spans="1:11" x14ac:dyDescent="0.3">
      <c r="A89" s="1">
        <v>45608</v>
      </c>
      <c r="B89" t="s">
        <v>8</v>
      </c>
      <c r="C89" t="s">
        <v>9</v>
      </c>
      <c r="D89" s="6" t="s">
        <v>52</v>
      </c>
      <c r="E89" s="6" t="s">
        <v>58</v>
      </c>
      <c r="F89" s="6" t="s">
        <v>61</v>
      </c>
      <c r="G89" t="s">
        <v>10</v>
      </c>
      <c r="H89" t="s">
        <v>11</v>
      </c>
      <c r="I89">
        <v>2</v>
      </c>
      <c r="J89">
        <v>249</v>
      </c>
      <c r="K89">
        <v>498</v>
      </c>
    </row>
    <row r="90" spans="1:11" x14ac:dyDescent="0.3">
      <c r="A90" s="1">
        <v>45651</v>
      </c>
      <c r="B90" t="s">
        <v>20</v>
      </c>
      <c r="C90" t="s">
        <v>21</v>
      </c>
      <c r="D90" s="6" t="s">
        <v>50</v>
      </c>
      <c r="E90" s="6" t="s">
        <v>55</v>
      </c>
      <c r="F90" s="6" t="s">
        <v>59</v>
      </c>
      <c r="G90" t="s">
        <v>24</v>
      </c>
      <c r="H90" t="s">
        <v>11</v>
      </c>
      <c r="I90">
        <v>5</v>
      </c>
      <c r="J90">
        <v>349</v>
      </c>
      <c r="K90">
        <v>1745</v>
      </c>
    </row>
    <row r="91" spans="1:11" x14ac:dyDescent="0.3">
      <c r="A91" s="1">
        <v>45457</v>
      </c>
      <c r="B91" t="s">
        <v>16</v>
      </c>
      <c r="C91" t="s">
        <v>17</v>
      </c>
      <c r="D91" s="6" t="s">
        <v>51</v>
      </c>
      <c r="E91" s="6" t="s">
        <v>56</v>
      </c>
      <c r="F91" s="6" t="s">
        <v>59</v>
      </c>
      <c r="G91" t="s">
        <v>10</v>
      </c>
      <c r="H91" t="s">
        <v>25</v>
      </c>
      <c r="I91">
        <v>1</v>
      </c>
      <c r="J91">
        <v>249</v>
      </c>
      <c r="K91">
        <v>249</v>
      </c>
    </row>
    <row r="92" spans="1:11" x14ac:dyDescent="0.3">
      <c r="A92" s="1">
        <v>45532</v>
      </c>
      <c r="B92" t="s">
        <v>16</v>
      </c>
      <c r="C92" t="s">
        <v>17</v>
      </c>
      <c r="D92" s="6" t="s">
        <v>52</v>
      </c>
      <c r="E92" s="6" t="s">
        <v>57</v>
      </c>
      <c r="F92" s="6" t="s">
        <v>59</v>
      </c>
      <c r="G92" t="s">
        <v>24</v>
      </c>
      <c r="H92" t="s">
        <v>13</v>
      </c>
      <c r="I92">
        <v>1</v>
      </c>
      <c r="J92">
        <v>249</v>
      </c>
      <c r="K92">
        <v>249</v>
      </c>
    </row>
    <row r="93" spans="1:11" x14ac:dyDescent="0.3">
      <c r="A93" s="1">
        <v>45522</v>
      </c>
      <c r="B93" t="s">
        <v>20</v>
      </c>
      <c r="C93" t="s">
        <v>21</v>
      </c>
      <c r="D93" s="6" t="s">
        <v>51</v>
      </c>
      <c r="E93" s="6" t="s">
        <v>58</v>
      </c>
      <c r="F93" s="6" t="s">
        <v>59</v>
      </c>
      <c r="G93" t="s">
        <v>22</v>
      </c>
      <c r="H93" t="s">
        <v>11</v>
      </c>
      <c r="I93">
        <v>3</v>
      </c>
      <c r="J93">
        <v>2499</v>
      </c>
      <c r="K93">
        <v>7497</v>
      </c>
    </row>
    <row r="94" spans="1:11" x14ac:dyDescent="0.3">
      <c r="A94" s="1">
        <v>45403</v>
      </c>
      <c r="B94" t="s">
        <v>23</v>
      </c>
      <c r="C94" t="s">
        <v>17</v>
      </c>
      <c r="D94" s="6" t="s">
        <v>52</v>
      </c>
      <c r="E94" s="6" t="s">
        <v>55</v>
      </c>
      <c r="F94" s="6" t="s">
        <v>59</v>
      </c>
      <c r="G94" t="s">
        <v>24</v>
      </c>
      <c r="H94" t="s">
        <v>11</v>
      </c>
      <c r="I94">
        <v>1</v>
      </c>
      <c r="J94">
        <v>1999</v>
      </c>
      <c r="K94">
        <v>1999</v>
      </c>
    </row>
    <row r="95" spans="1:11" x14ac:dyDescent="0.3">
      <c r="A95" s="1">
        <v>45337</v>
      </c>
      <c r="B95" t="s">
        <v>23</v>
      </c>
      <c r="C95" t="s">
        <v>17</v>
      </c>
      <c r="D95" s="6" t="s">
        <v>50</v>
      </c>
      <c r="E95" s="6" t="s">
        <v>56</v>
      </c>
      <c r="F95" s="6" t="s">
        <v>59</v>
      </c>
      <c r="G95" t="s">
        <v>19</v>
      </c>
      <c r="H95" t="s">
        <v>25</v>
      </c>
      <c r="I95">
        <v>5</v>
      </c>
      <c r="J95">
        <v>299</v>
      </c>
      <c r="K95">
        <v>1495</v>
      </c>
    </row>
    <row r="96" spans="1:11" x14ac:dyDescent="0.3">
      <c r="A96" s="1">
        <v>45366</v>
      </c>
      <c r="B96" t="s">
        <v>8</v>
      </c>
      <c r="C96" t="s">
        <v>9</v>
      </c>
      <c r="D96" s="6" t="s">
        <v>51</v>
      </c>
      <c r="E96" s="6" t="s">
        <v>57</v>
      </c>
      <c r="F96" s="6" t="s">
        <v>59</v>
      </c>
      <c r="G96" t="s">
        <v>19</v>
      </c>
      <c r="H96" t="s">
        <v>25</v>
      </c>
      <c r="I96">
        <v>1</v>
      </c>
      <c r="J96">
        <v>199</v>
      </c>
      <c r="K96">
        <v>199</v>
      </c>
    </row>
    <row r="97" spans="1:11" x14ac:dyDescent="0.3">
      <c r="A97" s="1">
        <v>45579</v>
      </c>
      <c r="B97" t="s">
        <v>14</v>
      </c>
      <c r="C97" t="s">
        <v>9</v>
      </c>
      <c r="D97" s="6" t="s">
        <v>52</v>
      </c>
      <c r="E97" s="6" t="s">
        <v>58</v>
      </c>
      <c r="F97" s="6" t="s">
        <v>61</v>
      </c>
      <c r="G97" t="s">
        <v>19</v>
      </c>
      <c r="H97" t="s">
        <v>15</v>
      </c>
      <c r="I97">
        <v>2</v>
      </c>
      <c r="J97">
        <v>2499</v>
      </c>
      <c r="K97">
        <v>4998</v>
      </c>
    </row>
    <row r="98" spans="1:11" x14ac:dyDescent="0.3">
      <c r="A98" s="1">
        <v>45466</v>
      </c>
      <c r="B98" t="s">
        <v>20</v>
      </c>
      <c r="C98" t="s">
        <v>21</v>
      </c>
      <c r="D98" s="6" t="s">
        <v>50</v>
      </c>
      <c r="E98" s="6" t="s">
        <v>55</v>
      </c>
      <c r="F98" s="6" t="s">
        <v>59</v>
      </c>
      <c r="G98" t="s">
        <v>12</v>
      </c>
      <c r="H98" t="s">
        <v>18</v>
      </c>
      <c r="I98">
        <v>5</v>
      </c>
      <c r="J98">
        <v>199</v>
      </c>
      <c r="K98">
        <v>995</v>
      </c>
    </row>
    <row r="99" spans="1:11" x14ac:dyDescent="0.3">
      <c r="A99" s="1">
        <v>45622</v>
      </c>
      <c r="B99" t="s">
        <v>23</v>
      </c>
      <c r="C99" t="s">
        <v>17</v>
      </c>
      <c r="D99" s="6" t="s">
        <v>51</v>
      </c>
      <c r="E99" s="6" t="s">
        <v>56</v>
      </c>
      <c r="F99" s="6" t="s">
        <v>59</v>
      </c>
      <c r="G99" t="s">
        <v>10</v>
      </c>
      <c r="H99" t="s">
        <v>13</v>
      </c>
      <c r="I99">
        <v>4</v>
      </c>
      <c r="J99">
        <v>199</v>
      </c>
      <c r="K99">
        <v>796</v>
      </c>
    </row>
    <row r="100" spans="1:11" x14ac:dyDescent="0.3">
      <c r="A100" s="1">
        <v>45507</v>
      </c>
      <c r="B100" t="s">
        <v>16</v>
      </c>
      <c r="C100" t="s">
        <v>17</v>
      </c>
      <c r="D100" s="6" t="s">
        <v>52</v>
      </c>
      <c r="E100" s="6" t="s">
        <v>57</v>
      </c>
      <c r="F100" s="6" t="s">
        <v>59</v>
      </c>
      <c r="G100" t="s">
        <v>24</v>
      </c>
      <c r="H100" t="s">
        <v>11</v>
      </c>
      <c r="I100">
        <v>5</v>
      </c>
      <c r="J100">
        <v>2499</v>
      </c>
      <c r="K100">
        <v>12495</v>
      </c>
    </row>
    <row r="101" spans="1:11" x14ac:dyDescent="0.3">
      <c r="A101" s="1">
        <v>45440</v>
      </c>
      <c r="B101" t="s">
        <v>23</v>
      </c>
      <c r="C101" t="s">
        <v>17</v>
      </c>
      <c r="D101" s="6" t="s">
        <v>50</v>
      </c>
      <c r="E101" s="6" t="s">
        <v>58</v>
      </c>
      <c r="F101" s="6" t="s">
        <v>59</v>
      </c>
      <c r="G101" t="s">
        <v>24</v>
      </c>
      <c r="H101" t="s">
        <v>13</v>
      </c>
      <c r="I101">
        <v>1</v>
      </c>
      <c r="J101">
        <v>249</v>
      </c>
      <c r="K101">
        <v>249</v>
      </c>
    </row>
    <row r="102" spans="1:11" x14ac:dyDescent="0.3">
      <c r="A102" s="1">
        <v>45302</v>
      </c>
      <c r="B102" t="s">
        <v>16</v>
      </c>
      <c r="C102" t="s">
        <v>17</v>
      </c>
      <c r="D102" s="6" t="s">
        <v>51</v>
      </c>
      <c r="E102" s="6" t="s">
        <v>55</v>
      </c>
      <c r="F102" s="6" t="s">
        <v>61</v>
      </c>
      <c r="G102" t="s">
        <v>24</v>
      </c>
      <c r="H102" t="s">
        <v>25</v>
      </c>
      <c r="I102">
        <v>1</v>
      </c>
      <c r="J102">
        <v>1999</v>
      </c>
      <c r="K102">
        <v>1999</v>
      </c>
    </row>
    <row r="103" spans="1:11" x14ac:dyDescent="0.3">
      <c r="A103" s="1">
        <v>45576</v>
      </c>
      <c r="B103" t="s">
        <v>23</v>
      </c>
      <c r="C103" t="s">
        <v>17</v>
      </c>
      <c r="D103" s="6" t="s">
        <v>52</v>
      </c>
      <c r="E103" s="6" t="s">
        <v>56</v>
      </c>
      <c r="F103" s="6" t="s">
        <v>59</v>
      </c>
      <c r="G103" t="s">
        <v>10</v>
      </c>
      <c r="H103" t="s">
        <v>18</v>
      </c>
      <c r="I103">
        <v>5</v>
      </c>
      <c r="J103">
        <v>2499</v>
      </c>
      <c r="K103">
        <v>12495</v>
      </c>
    </row>
    <row r="104" spans="1:11" x14ac:dyDescent="0.3">
      <c r="A104" s="1">
        <v>45468</v>
      </c>
      <c r="B104" t="s">
        <v>14</v>
      </c>
      <c r="C104" t="s">
        <v>9</v>
      </c>
      <c r="D104" s="6" t="s">
        <v>51</v>
      </c>
      <c r="E104" s="6" t="s">
        <v>57</v>
      </c>
      <c r="F104" s="6" t="s">
        <v>59</v>
      </c>
      <c r="G104" t="s">
        <v>12</v>
      </c>
      <c r="H104" t="s">
        <v>15</v>
      </c>
      <c r="I104">
        <v>1</v>
      </c>
      <c r="J104">
        <v>1999</v>
      </c>
      <c r="K104">
        <v>1999</v>
      </c>
    </row>
    <row r="105" spans="1:11" x14ac:dyDescent="0.3">
      <c r="A105" s="1">
        <v>45646</v>
      </c>
      <c r="B105" t="s">
        <v>20</v>
      </c>
      <c r="C105" t="s">
        <v>21</v>
      </c>
      <c r="D105" s="6" t="s">
        <v>52</v>
      </c>
      <c r="E105" s="6" t="s">
        <v>58</v>
      </c>
      <c r="F105" s="6" t="s">
        <v>59</v>
      </c>
      <c r="G105" t="s">
        <v>10</v>
      </c>
      <c r="H105" t="s">
        <v>13</v>
      </c>
      <c r="I105">
        <v>1</v>
      </c>
      <c r="J105">
        <v>1999</v>
      </c>
      <c r="K105">
        <v>1999</v>
      </c>
    </row>
    <row r="106" spans="1:11" x14ac:dyDescent="0.3">
      <c r="A106" s="1">
        <v>45295</v>
      </c>
      <c r="B106" t="s">
        <v>8</v>
      </c>
      <c r="C106" t="s">
        <v>9</v>
      </c>
      <c r="D106" s="6" t="s">
        <v>50</v>
      </c>
      <c r="E106" s="6" t="s">
        <v>55</v>
      </c>
      <c r="F106" s="6" t="s">
        <v>59</v>
      </c>
      <c r="G106" t="s">
        <v>12</v>
      </c>
      <c r="H106" t="s">
        <v>18</v>
      </c>
      <c r="I106">
        <v>5</v>
      </c>
      <c r="J106">
        <v>349</v>
      </c>
      <c r="K106">
        <v>1745</v>
      </c>
    </row>
    <row r="107" spans="1:11" x14ac:dyDescent="0.3">
      <c r="A107" s="1">
        <v>45490</v>
      </c>
      <c r="B107" t="s">
        <v>14</v>
      </c>
      <c r="C107" t="s">
        <v>9</v>
      </c>
      <c r="D107" s="6" t="s">
        <v>51</v>
      </c>
      <c r="E107" s="6" t="s">
        <v>56</v>
      </c>
      <c r="F107" s="6" t="s">
        <v>59</v>
      </c>
      <c r="G107" t="s">
        <v>10</v>
      </c>
      <c r="H107" t="s">
        <v>13</v>
      </c>
      <c r="I107">
        <v>1</v>
      </c>
      <c r="J107">
        <v>199</v>
      </c>
      <c r="K107">
        <v>199</v>
      </c>
    </row>
    <row r="108" spans="1:11" x14ac:dyDescent="0.3">
      <c r="A108" s="1">
        <v>45394</v>
      </c>
      <c r="B108" t="s">
        <v>16</v>
      </c>
      <c r="C108" t="s">
        <v>17</v>
      </c>
      <c r="D108" s="6" t="s">
        <v>52</v>
      </c>
      <c r="E108" s="6" t="s">
        <v>57</v>
      </c>
      <c r="F108" s="6" t="s">
        <v>61</v>
      </c>
      <c r="G108" t="s">
        <v>10</v>
      </c>
      <c r="H108" t="s">
        <v>18</v>
      </c>
      <c r="I108">
        <v>2</v>
      </c>
      <c r="J108">
        <v>2499</v>
      </c>
      <c r="K108">
        <v>4998</v>
      </c>
    </row>
    <row r="109" spans="1:11" x14ac:dyDescent="0.3">
      <c r="A109" s="1">
        <v>45339</v>
      </c>
      <c r="B109" t="s">
        <v>23</v>
      </c>
      <c r="C109" t="s">
        <v>17</v>
      </c>
      <c r="D109" s="6" t="s">
        <v>50</v>
      </c>
      <c r="E109" s="6" t="s">
        <v>58</v>
      </c>
      <c r="F109" s="6" t="s">
        <v>59</v>
      </c>
      <c r="G109" t="s">
        <v>22</v>
      </c>
      <c r="H109" t="s">
        <v>25</v>
      </c>
      <c r="I109">
        <v>1</v>
      </c>
      <c r="J109">
        <v>2499</v>
      </c>
      <c r="K109">
        <v>2499</v>
      </c>
    </row>
    <row r="110" spans="1:11" x14ac:dyDescent="0.3">
      <c r="A110" s="1">
        <v>45645</v>
      </c>
      <c r="B110" t="s">
        <v>23</v>
      </c>
      <c r="C110" t="s">
        <v>17</v>
      </c>
      <c r="D110" s="6" t="s">
        <v>51</v>
      </c>
      <c r="E110" s="6" t="s">
        <v>55</v>
      </c>
      <c r="F110" s="6" t="s">
        <v>59</v>
      </c>
      <c r="G110" t="s">
        <v>19</v>
      </c>
      <c r="H110" t="s">
        <v>25</v>
      </c>
      <c r="I110">
        <v>1</v>
      </c>
      <c r="J110">
        <v>299</v>
      </c>
      <c r="K110">
        <v>299</v>
      </c>
    </row>
    <row r="111" spans="1:11" x14ac:dyDescent="0.3">
      <c r="A111" s="1">
        <v>45357</v>
      </c>
      <c r="B111" t="s">
        <v>14</v>
      </c>
      <c r="C111" t="s">
        <v>9</v>
      </c>
      <c r="D111" s="6" t="s">
        <v>52</v>
      </c>
      <c r="E111" s="6" t="s">
        <v>56</v>
      </c>
      <c r="F111" s="6" t="s">
        <v>59</v>
      </c>
      <c r="G111" t="s">
        <v>24</v>
      </c>
      <c r="H111" t="s">
        <v>11</v>
      </c>
      <c r="I111">
        <v>1</v>
      </c>
      <c r="J111">
        <v>2499</v>
      </c>
      <c r="K111">
        <v>2499</v>
      </c>
    </row>
    <row r="112" spans="1:11" x14ac:dyDescent="0.3">
      <c r="A112" s="1">
        <v>45580</v>
      </c>
      <c r="B112" t="s">
        <v>14</v>
      </c>
      <c r="C112" t="s">
        <v>9</v>
      </c>
      <c r="D112" s="6" t="s">
        <v>50</v>
      </c>
      <c r="E112" s="6" t="s">
        <v>57</v>
      </c>
      <c r="F112" s="6" t="s">
        <v>59</v>
      </c>
      <c r="G112" t="s">
        <v>19</v>
      </c>
      <c r="H112" t="s">
        <v>13</v>
      </c>
      <c r="I112">
        <v>4</v>
      </c>
      <c r="J112">
        <v>2499</v>
      </c>
      <c r="K112">
        <v>9996</v>
      </c>
    </row>
    <row r="113" spans="1:11" x14ac:dyDescent="0.3">
      <c r="A113" s="1">
        <v>45614</v>
      </c>
      <c r="B113" t="s">
        <v>8</v>
      </c>
      <c r="C113" t="s">
        <v>9</v>
      </c>
      <c r="D113" s="6" t="s">
        <v>51</v>
      </c>
      <c r="E113" s="6" t="s">
        <v>58</v>
      </c>
      <c r="F113" s="6" t="s">
        <v>61</v>
      </c>
      <c r="G113" t="s">
        <v>10</v>
      </c>
      <c r="H113" t="s">
        <v>11</v>
      </c>
      <c r="I113">
        <v>2</v>
      </c>
      <c r="J113">
        <v>1999</v>
      </c>
      <c r="K113">
        <v>3998</v>
      </c>
    </row>
    <row r="114" spans="1:11" x14ac:dyDescent="0.3">
      <c r="A114" s="1">
        <v>45623</v>
      </c>
      <c r="B114" t="s">
        <v>23</v>
      </c>
      <c r="C114" t="s">
        <v>17</v>
      </c>
      <c r="D114" s="6" t="s">
        <v>52</v>
      </c>
      <c r="E114" s="6" t="s">
        <v>55</v>
      </c>
      <c r="F114" s="6" t="s">
        <v>59</v>
      </c>
      <c r="G114" t="s">
        <v>24</v>
      </c>
      <c r="H114" t="s">
        <v>18</v>
      </c>
      <c r="I114">
        <v>2</v>
      </c>
      <c r="J114">
        <v>299</v>
      </c>
      <c r="K114">
        <v>598</v>
      </c>
    </row>
    <row r="115" spans="1:11" x14ac:dyDescent="0.3">
      <c r="A115" s="1">
        <v>45644</v>
      </c>
      <c r="B115" t="s">
        <v>14</v>
      </c>
      <c r="C115" t="s">
        <v>9</v>
      </c>
      <c r="D115" s="6" t="s">
        <v>51</v>
      </c>
      <c r="E115" s="6" t="s">
        <v>56</v>
      </c>
      <c r="F115" s="6" t="s">
        <v>59</v>
      </c>
      <c r="G115" t="s">
        <v>22</v>
      </c>
      <c r="H115" t="s">
        <v>18</v>
      </c>
      <c r="I115">
        <v>3</v>
      </c>
      <c r="J115">
        <v>1999</v>
      </c>
      <c r="K115">
        <v>5997</v>
      </c>
    </row>
    <row r="116" spans="1:11" x14ac:dyDescent="0.3">
      <c r="A116" s="1">
        <v>45396</v>
      </c>
      <c r="B116" t="s">
        <v>16</v>
      </c>
      <c r="C116" t="s">
        <v>17</v>
      </c>
      <c r="D116" s="6" t="s">
        <v>52</v>
      </c>
      <c r="E116" s="6" t="s">
        <v>57</v>
      </c>
      <c r="F116" s="6" t="s">
        <v>59</v>
      </c>
      <c r="G116" t="s">
        <v>10</v>
      </c>
      <c r="H116" t="s">
        <v>15</v>
      </c>
      <c r="I116">
        <v>5</v>
      </c>
      <c r="J116">
        <v>299</v>
      </c>
      <c r="K116">
        <v>1495</v>
      </c>
    </row>
    <row r="117" spans="1:11" x14ac:dyDescent="0.3">
      <c r="A117" s="1">
        <v>45451</v>
      </c>
      <c r="B117" t="s">
        <v>16</v>
      </c>
      <c r="C117" t="s">
        <v>17</v>
      </c>
      <c r="D117" s="6" t="s">
        <v>50</v>
      </c>
      <c r="E117" s="6" t="s">
        <v>58</v>
      </c>
      <c r="F117" s="6" t="s">
        <v>59</v>
      </c>
      <c r="G117" t="s">
        <v>24</v>
      </c>
      <c r="H117" t="s">
        <v>11</v>
      </c>
      <c r="I117">
        <v>5</v>
      </c>
      <c r="J117">
        <v>1999</v>
      </c>
      <c r="K117">
        <v>9995</v>
      </c>
    </row>
    <row r="118" spans="1:11" x14ac:dyDescent="0.3">
      <c r="A118" s="1">
        <v>45636</v>
      </c>
      <c r="B118" t="s">
        <v>8</v>
      </c>
      <c r="C118" t="s">
        <v>9</v>
      </c>
      <c r="D118" s="6" t="s">
        <v>51</v>
      </c>
      <c r="E118" s="6" t="s">
        <v>55</v>
      </c>
      <c r="F118" s="6" t="s">
        <v>59</v>
      </c>
      <c r="G118" t="s">
        <v>19</v>
      </c>
      <c r="H118" t="s">
        <v>15</v>
      </c>
      <c r="I118">
        <v>3</v>
      </c>
      <c r="J118">
        <v>199</v>
      </c>
      <c r="K118">
        <v>597</v>
      </c>
    </row>
    <row r="119" spans="1:11" x14ac:dyDescent="0.3">
      <c r="A119" s="1">
        <v>45433</v>
      </c>
      <c r="B119" t="s">
        <v>8</v>
      </c>
      <c r="C119" t="s">
        <v>9</v>
      </c>
      <c r="D119" s="6" t="s">
        <v>52</v>
      </c>
      <c r="E119" s="6" t="s">
        <v>56</v>
      </c>
      <c r="F119" s="6" t="s">
        <v>61</v>
      </c>
      <c r="G119" t="s">
        <v>19</v>
      </c>
      <c r="H119" t="s">
        <v>18</v>
      </c>
      <c r="I119">
        <v>3</v>
      </c>
      <c r="J119">
        <v>299</v>
      </c>
      <c r="K119">
        <v>897</v>
      </c>
    </row>
    <row r="120" spans="1:11" x14ac:dyDescent="0.3">
      <c r="A120" s="1">
        <v>45407</v>
      </c>
      <c r="B120" t="s">
        <v>14</v>
      </c>
      <c r="C120" t="s">
        <v>9</v>
      </c>
      <c r="D120" s="6" t="s">
        <v>50</v>
      </c>
      <c r="E120" s="6" t="s">
        <v>57</v>
      </c>
      <c r="F120" s="6" t="s">
        <v>59</v>
      </c>
      <c r="G120" t="s">
        <v>19</v>
      </c>
      <c r="H120" t="s">
        <v>11</v>
      </c>
      <c r="I120">
        <v>3</v>
      </c>
      <c r="J120">
        <v>199</v>
      </c>
      <c r="K120">
        <v>597</v>
      </c>
    </row>
    <row r="121" spans="1:11" x14ac:dyDescent="0.3">
      <c r="A121" s="1">
        <v>45385</v>
      </c>
      <c r="B121" t="s">
        <v>16</v>
      </c>
      <c r="C121" t="s">
        <v>17</v>
      </c>
      <c r="D121" s="6" t="s">
        <v>51</v>
      </c>
      <c r="E121" s="6" t="s">
        <v>58</v>
      </c>
      <c r="F121" s="6" t="s">
        <v>59</v>
      </c>
      <c r="G121" t="s">
        <v>19</v>
      </c>
      <c r="H121" t="s">
        <v>13</v>
      </c>
      <c r="I121">
        <v>3</v>
      </c>
      <c r="J121">
        <v>299</v>
      </c>
      <c r="K121">
        <v>897</v>
      </c>
    </row>
    <row r="122" spans="1:11" x14ac:dyDescent="0.3">
      <c r="A122" s="1">
        <v>45404</v>
      </c>
      <c r="B122" t="s">
        <v>23</v>
      </c>
      <c r="C122" t="s">
        <v>17</v>
      </c>
      <c r="D122" s="6" t="s">
        <v>52</v>
      </c>
      <c r="E122" s="6" t="s">
        <v>55</v>
      </c>
      <c r="F122" s="6" t="s">
        <v>59</v>
      </c>
      <c r="G122" t="s">
        <v>10</v>
      </c>
      <c r="H122" t="s">
        <v>15</v>
      </c>
      <c r="I122">
        <v>4</v>
      </c>
      <c r="J122">
        <v>199</v>
      </c>
      <c r="K122">
        <v>796</v>
      </c>
    </row>
    <row r="123" spans="1:11" x14ac:dyDescent="0.3">
      <c r="A123" s="1">
        <v>45634</v>
      </c>
      <c r="B123" t="s">
        <v>20</v>
      </c>
      <c r="C123" t="s">
        <v>21</v>
      </c>
      <c r="D123" s="6" t="s">
        <v>50</v>
      </c>
      <c r="E123" s="6" t="s">
        <v>56</v>
      </c>
      <c r="F123" s="6" t="s">
        <v>59</v>
      </c>
      <c r="G123" t="s">
        <v>19</v>
      </c>
      <c r="H123" t="s">
        <v>13</v>
      </c>
      <c r="I123">
        <v>3</v>
      </c>
      <c r="J123">
        <v>1999</v>
      </c>
      <c r="K123">
        <v>5997</v>
      </c>
    </row>
    <row r="124" spans="1:11" x14ac:dyDescent="0.3">
      <c r="A124" s="1">
        <v>45543</v>
      </c>
      <c r="B124" t="s">
        <v>20</v>
      </c>
      <c r="C124" t="s">
        <v>21</v>
      </c>
      <c r="D124" s="6" t="s">
        <v>51</v>
      </c>
      <c r="E124" s="6" t="s">
        <v>57</v>
      </c>
      <c r="F124" s="6" t="s">
        <v>59</v>
      </c>
      <c r="G124" t="s">
        <v>12</v>
      </c>
      <c r="H124" t="s">
        <v>25</v>
      </c>
      <c r="I124">
        <v>4</v>
      </c>
      <c r="J124">
        <v>249</v>
      </c>
      <c r="K124">
        <v>996</v>
      </c>
    </row>
    <row r="125" spans="1:11" x14ac:dyDescent="0.3">
      <c r="A125" s="1">
        <v>45478</v>
      </c>
      <c r="B125" t="s">
        <v>16</v>
      </c>
      <c r="C125" t="s">
        <v>17</v>
      </c>
      <c r="D125" s="6" t="s">
        <v>52</v>
      </c>
      <c r="E125" s="6" t="s">
        <v>58</v>
      </c>
      <c r="F125" s="6" t="s">
        <v>59</v>
      </c>
      <c r="G125" t="s">
        <v>10</v>
      </c>
      <c r="H125" t="s">
        <v>15</v>
      </c>
      <c r="I125">
        <v>3</v>
      </c>
      <c r="J125">
        <v>349</v>
      </c>
      <c r="K125">
        <v>1047</v>
      </c>
    </row>
    <row r="126" spans="1:11" x14ac:dyDescent="0.3">
      <c r="A126" s="1">
        <v>45437</v>
      </c>
      <c r="B126" t="s">
        <v>14</v>
      </c>
      <c r="C126" t="s">
        <v>9</v>
      </c>
      <c r="D126" s="6" t="s">
        <v>51</v>
      </c>
      <c r="E126" s="6" t="s">
        <v>55</v>
      </c>
      <c r="F126" s="6" t="s">
        <v>59</v>
      </c>
      <c r="G126" t="s">
        <v>10</v>
      </c>
      <c r="H126" t="s">
        <v>18</v>
      </c>
      <c r="I126">
        <v>5</v>
      </c>
      <c r="J126">
        <v>2499</v>
      </c>
      <c r="K126">
        <v>12495</v>
      </c>
    </row>
    <row r="127" spans="1:11" x14ac:dyDescent="0.3">
      <c r="A127" s="1">
        <v>45635</v>
      </c>
      <c r="B127" t="s">
        <v>16</v>
      </c>
      <c r="C127" t="s">
        <v>17</v>
      </c>
      <c r="D127" s="6" t="s">
        <v>52</v>
      </c>
      <c r="E127" s="6" t="s">
        <v>56</v>
      </c>
      <c r="F127" s="6" t="s">
        <v>61</v>
      </c>
      <c r="G127" t="s">
        <v>22</v>
      </c>
      <c r="H127" t="s">
        <v>13</v>
      </c>
      <c r="I127">
        <v>2</v>
      </c>
      <c r="J127">
        <v>1999</v>
      </c>
      <c r="K127">
        <v>3998</v>
      </c>
    </row>
    <row r="128" spans="1:11" x14ac:dyDescent="0.3">
      <c r="A128" s="1">
        <v>45453</v>
      </c>
      <c r="B128" t="s">
        <v>20</v>
      </c>
      <c r="C128" t="s">
        <v>21</v>
      </c>
      <c r="D128" s="6" t="s">
        <v>50</v>
      </c>
      <c r="E128" s="6" t="s">
        <v>57</v>
      </c>
      <c r="F128" s="6" t="s">
        <v>59</v>
      </c>
      <c r="G128" t="s">
        <v>10</v>
      </c>
      <c r="H128" t="s">
        <v>15</v>
      </c>
      <c r="I128">
        <v>5</v>
      </c>
      <c r="J128">
        <v>1999</v>
      </c>
      <c r="K128">
        <v>9995</v>
      </c>
    </row>
    <row r="129" spans="1:11" x14ac:dyDescent="0.3">
      <c r="A129" s="1">
        <v>45398</v>
      </c>
      <c r="B129" t="s">
        <v>16</v>
      </c>
      <c r="C129" t="s">
        <v>17</v>
      </c>
      <c r="D129" s="6" t="s">
        <v>51</v>
      </c>
      <c r="E129" s="6" t="s">
        <v>58</v>
      </c>
      <c r="F129" s="6" t="s">
        <v>59</v>
      </c>
      <c r="G129" t="s">
        <v>10</v>
      </c>
      <c r="H129" t="s">
        <v>15</v>
      </c>
      <c r="I129">
        <v>1</v>
      </c>
      <c r="J129">
        <v>349</v>
      </c>
      <c r="K129">
        <v>349</v>
      </c>
    </row>
    <row r="130" spans="1:11" x14ac:dyDescent="0.3">
      <c r="A130" s="1">
        <v>45347</v>
      </c>
      <c r="B130" t="s">
        <v>16</v>
      </c>
      <c r="C130" t="s">
        <v>17</v>
      </c>
      <c r="D130" s="6" t="s">
        <v>52</v>
      </c>
      <c r="E130" s="6" t="s">
        <v>55</v>
      </c>
      <c r="F130" s="6" t="s">
        <v>59</v>
      </c>
      <c r="G130" t="s">
        <v>10</v>
      </c>
      <c r="H130" t="s">
        <v>15</v>
      </c>
      <c r="I130">
        <v>2</v>
      </c>
      <c r="J130">
        <v>299</v>
      </c>
      <c r="K130">
        <v>598</v>
      </c>
    </row>
    <row r="131" spans="1:11" x14ac:dyDescent="0.3">
      <c r="A131" s="1">
        <v>45621</v>
      </c>
      <c r="B131" t="s">
        <v>20</v>
      </c>
      <c r="C131" t="s">
        <v>21</v>
      </c>
      <c r="D131" s="6" t="s">
        <v>50</v>
      </c>
      <c r="E131" s="6" t="s">
        <v>56</v>
      </c>
      <c r="F131" s="6" t="s">
        <v>59</v>
      </c>
      <c r="G131" t="s">
        <v>12</v>
      </c>
      <c r="H131" t="s">
        <v>25</v>
      </c>
      <c r="I131">
        <v>3</v>
      </c>
      <c r="J131">
        <v>249</v>
      </c>
      <c r="K131">
        <v>747</v>
      </c>
    </row>
    <row r="132" spans="1:11" x14ac:dyDescent="0.3">
      <c r="A132" s="1">
        <v>45426</v>
      </c>
      <c r="B132" t="s">
        <v>14</v>
      </c>
      <c r="C132" t="s">
        <v>9</v>
      </c>
      <c r="D132" s="6" t="s">
        <v>51</v>
      </c>
      <c r="E132" s="6" t="s">
        <v>57</v>
      </c>
      <c r="F132" s="6" t="s">
        <v>61</v>
      </c>
      <c r="G132" t="s">
        <v>22</v>
      </c>
      <c r="H132" t="s">
        <v>11</v>
      </c>
      <c r="I132">
        <v>4</v>
      </c>
      <c r="J132">
        <v>249</v>
      </c>
      <c r="K132">
        <v>996</v>
      </c>
    </row>
    <row r="133" spans="1:11" x14ac:dyDescent="0.3">
      <c r="A133" s="1">
        <v>45422</v>
      </c>
      <c r="B133" t="s">
        <v>8</v>
      </c>
      <c r="C133" t="s">
        <v>9</v>
      </c>
      <c r="D133" s="6" t="s">
        <v>52</v>
      </c>
      <c r="E133" s="6" t="s">
        <v>58</v>
      </c>
      <c r="F133" s="6" t="s">
        <v>59</v>
      </c>
      <c r="G133" t="s">
        <v>22</v>
      </c>
      <c r="H133" t="s">
        <v>13</v>
      </c>
      <c r="I133">
        <v>3</v>
      </c>
      <c r="J133">
        <v>349</v>
      </c>
      <c r="K133">
        <v>1047</v>
      </c>
    </row>
    <row r="134" spans="1:11" x14ac:dyDescent="0.3">
      <c r="A134" s="1">
        <v>45304</v>
      </c>
      <c r="B134" t="s">
        <v>14</v>
      </c>
      <c r="C134" t="s">
        <v>9</v>
      </c>
      <c r="D134" s="6" t="s">
        <v>50</v>
      </c>
      <c r="E134" s="6" t="s">
        <v>55</v>
      </c>
      <c r="F134" s="6" t="s">
        <v>59</v>
      </c>
      <c r="G134" t="s">
        <v>12</v>
      </c>
      <c r="H134" t="s">
        <v>18</v>
      </c>
      <c r="I134">
        <v>1</v>
      </c>
      <c r="J134">
        <v>349</v>
      </c>
      <c r="K134">
        <v>349</v>
      </c>
    </row>
    <row r="135" spans="1:11" x14ac:dyDescent="0.3">
      <c r="A135" s="1">
        <v>45352</v>
      </c>
      <c r="B135" t="s">
        <v>14</v>
      </c>
      <c r="C135" t="s">
        <v>9</v>
      </c>
      <c r="D135" s="6" t="s">
        <v>51</v>
      </c>
      <c r="E135" s="6" t="s">
        <v>56</v>
      </c>
      <c r="F135" s="6" t="s">
        <v>59</v>
      </c>
      <c r="G135" t="s">
        <v>24</v>
      </c>
      <c r="H135" t="s">
        <v>13</v>
      </c>
      <c r="I135">
        <v>4</v>
      </c>
      <c r="J135">
        <v>2499</v>
      </c>
      <c r="K135">
        <v>9996</v>
      </c>
    </row>
    <row r="136" spans="1:11" x14ac:dyDescent="0.3">
      <c r="A136" s="1">
        <v>45579</v>
      </c>
      <c r="B136" t="s">
        <v>14</v>
      </c>
      <c r="C136" t="s">
        <v>9</v>
      </c>
      <c r="D136" s="6" t="s">
        <v>52</v>
      </c>
      <c r="E136" s="6" t="s">
        <v>57</v>
      </c>
      <c r="F136" s="6" t="s">
        <v>59</v>
      </c>
      <c r="G136" t="s">
        <v>22</v>
      </c>
      <c r="H136" t="s">
        <v>15</v>
      </c>
      <c r="I136">
        <v>3</v>
      </c>
      <c r="J136">
        <v>349</v>
      </c>
      <c r="K136">
        <v>1047</v>
      </c>
    </row>
    <row r="137" spans="1:11" x14ac:dyDescent="0.3">
      <c r="A137" s="1">
        <v>45329</v>
      </c>
      <c r="B137" t="s">
        <v>23</v>
      </c>
      <c r="C137" t="s">
        <v>17</v>
      </c>
      <c r="D137" s="6" t="s">
        <v>51</v>
      </c>
      <c r="E137" s="6" t="s">
        <v>58</v>
      </c>
      <c r="F137" s="6" t="s">
        <v>59</v>
      </c>
      <c r="G137" t="s">
        <v>24</v>
      </c>
      <c r="H137" t="s">
        <v>25</v>
      </c>
      <c r="I137">
        <v>2</v>
      </c>
      <c r="J137">
        <v>299</v>
      </c>
      <c r="K137">
        <v>598</v>
      </c>
    </row>
    <row r="138" spans="1:11" x14ac:dyDescent="0.3">
      <c r="A138" s="1">
        <v>45424</v>
      </c>
      <c r="B138" t="s">
        <v>23</v>
      </c>
      <c r="C138" t="s">
        <v>17</v>
      </c>
      <c r="D138" s="6" t="s">
        <v>52</v>
      </c>
      <c r="E138" s="6" t="s">
        <v>55</v>
      </c>
      <c r="F138" s="6" t="s">
        <v>61</v>
      </c>
      <c r="G138" t="s">
        <v>24</v>
      </c>
      <c r="H138" t="s">
        <v>15</v>
      </c>
      <c r="I138">
        <v>5</v>
      </c>
      <c r="J138">
        <v>2499</v>
      </c>
      <c r="K138">
        <v>12495</v>
      </c>
    </row>
    <row r="139" spans="1:11" x14ac:dyDescent="0.3">
      <c r="A139" s="1">
        <v>45634</v>
      </c>
      <c r="B139" t="s">
        <v>23</v>
      </c>
      <c r="C139" t="s">
        <v>17</v>
      </c>
      <c r="D139" s="6" t="s">
        <v>50</v>
      </c>
      <c r="E139" s="6" t="s">
        <v>56</v>
      </c>
      <c r="F139" s="6" t="s">
        <v>59</v>
      </c>
      <c r="G139" t="s">
        <v>24</v>
      </c>
      <c r="H139" t="s">
        <v>11</v>
      </c>
      <c r="I139">
        <v>5</v>
      </c>
      <c r="J139">
        <v>199</v>
      </c>
      <c r="K139">
        <v>995</v>
      </c>
    </row>
    <row r="140" spans="1:11" x14ac:dyDescent="0.3">
      <c r="A140" s="1">
        <v>45371</v>
      </c>
      <c r="B140" t="s">
        <v>16</v>
      </c>
      <c r="C140" t="s">
        <v>17</v>
      </c>
      <c r="D140" s="6" t="s">
        <v>51</v>
      </c>
      <c r="E140" s="6" t="s">
        <v>57</v>
      </c>
      <c r="F140" s="6" t="s">
        <v>59</v>
      </c>
      <c r="G140" t="s">
        <v>22</v>
      </c>
      <c r="H140" t="s">
        <v>11</v>
      </c>
      <c r="I140">
        <v>5</v>
      </c>
      <c r="J140">
        <v>249</v>
      </c>
      <c r="K140">
        <v>1245</v>
      </c>
    </row>
    <row r="141" spans="1:11" x14ac:dyDescent="0.3">
      <c r="A141" s="1">
        <v>45364</v>
      </c>
      <c r="B141" t="s">
        <v>16</v>
      </c>
      <c r="C141" t="s">
        <v>17</v>
      </c>
      <c r="D141" s="6" t="s">
        <v>52</v>
      </c>
      <c r="E141" s="6" t="s">
        <v>58</v>
      </c>
      <c r="F141" s="6" t="s">
        <v>59</v>
      </c>
      <c r="G141" t="s">
        <v>22</v>
      </c>
      <c r="H141" t="s">
        <v>11</v>
      </c>
      <c r="I141">
        <v>4</v>
      </c>
      <c r="J141">
        <v>349</v>
      </c>
      <c r="K141">
        <v>1396</v>
      </c>
    </row>
    <row r="142" spans="1:11" x14ac:dyDescent="0.3">
      <c r="A142" s="1">
        <v>45654</v>
      </c>
      <c r="B142" t="s">
        <v>14</v>
      </c>
      <c r="C142" t="s">
        <v>9</v>
      </c>
      <c r="D142" s="6" t="s">
        <v>50</v>
      </c>
      <c r="E142" s="6" t="s">
        <v>55</v>
      </c>
      <c r="F142" s="6" t="s">
        <v>59</v>
      </c>
      <c r="G142" t="s">
        <v>10</v>
      </c>
      <c r="H142" t="s">
        <v>15</v>
      </c>
      <c r="I142">
        <v>4</v>
      </c>
      <c r="J142">
        <v>349</v>
      </c>
      <c r="K142">
        <v>1396</v>
      </c>
    </row>
    <row r="143" spans="1:11" x14ac:dyDescent="0.3">
      <c r="A143" s="1">
        <v>45627</v>
      </c>
      <c r="B143" t="s">
        <v>14</v>
      </c>
      <c r="C143" t="s">
        <v>9</v>
      </c>
      <c r="D143" s="6" t="s">
        <v>51</v>
      </c>
      <c r="E143" s="6" t="s">
        <v>56</v>
      </c>
      <c r="F143" s="6" t="s">
        <v>61</v>
      </c>
      <c r="G143" t="s">
        <v>22</v>
      </c>
      <c r="H143" t="s">
        <v>13</v>
      </c>
      <c r="I143">
        <v>4</v>
      </c>
      <c r="J143">
        <v>199</v>
      </c>
      <c r="K143">
        <v>796</v>
      </c>
    </row>
    <row r="144" spans="1:11" x14ac:dyDescent="0.3">
      <c r="A144" s="1">
        <v>45306</v>
      </c>
      <c r="B144" t="s">
        <v>23</v>
      </c>
      <c r="C144" t="s">
        <v>17</v>
      </c>
      <c r="D144" s="6" t="s">
        <v>52</v>
      </c>
      <c r="E144" s="6" t="s">
        <v>57</v>
      </c>
      <c r="F144" s="6" t="s">
        <v>59</v>
      </c>
      <c r="G144" t="s">
        <v>24</v>
      </c>
      <c r="H144" t="s">
        <v>13</v>
      </c>
      <c r="I144">
        <v>5</v>
      </c>
      <c r="J144">
        <v>2499</v>
      </c>
      <c r="K144">
        <v>12495</v>
      </c>
    </row>
    <row r="145" spans="1:11" x14ac:dyDescent="0.3">
      <c r="A145" s="1">
        <v>45571</v>
      </c>
      <c r="B145" t="s">
        <v>23</v>
      </c>
      <c r="C145" t="s">
        <v>17</v>
      </c>
      <c r="D145" s="6" t="s">
        <v>50</v>
      </c>
      <c r="E145" s="6" t="s">
        <v>58</v>
      </c>
      <c r="F145" s="6" t="s">
        <v>59</v>
      </c>
      <c r="G145" t="s">
        <v>19</v>
      </c>
      <c r="H145" t="s">
        <v>11</v>
      </c>
      <c r="I145">
        <v>3</v>
      </c>
      <c r="J145">
        <v>249</v>
      </c>
      <c r="K145">
        <v>747</v>
      </c>
    </row>
    <row r="146" spans="1:11" x14ac:dyDescent="0.3">
      <c r="A146" s="1">
        <v>45462</v>
      </c>
      <c r="B146" t="s">
        <v>20</v>
      </c>
      <c r="C146" t="s">
        <v>21</v>
      </c>
      <c r="D146" s="6" t="s">
        <v>51</v>
      </c>
      <c r="E146" s="6" t="s">
        <v>55</v>
      </c>
      <c r="F146" s="6" t="s">
        <v>59</v>
      </c>
      <c r="G146" t="s">
        <v>19</v>
      </c>
      <c r="H146" t="s">
        <v>25</v>
      </c>
      <c r="I146">
        <v>3</v>
      </c>
      <c r="J146">
        <v>1999</v>
      </c>
      <c r="K146">
        <v>5997</v>
      </c>
    </row>
    <row r="147" spans="1:11" x14ac:dyDescent="0.3">
      <c r="A147" s="1">
        <v>45446</v>
      </c>
      <c r="B147" t="s">
        <v>8</v>
      </c>
      <c r="C147" t="s">
        <v>9</v>
      </c>
      <c r="D147" s="6" t="s">
        <v>52</v>
      </c>
      <c r="E147" s="6" t="s">
        <v>56</v>
      </c>
      <c r="F147" s="6" t="s">
        <v>59</v>
      </c>
      <c r="G147" t="s">
        <v>12</v>
      </c>
      <c r="H147" t="s">
        <v>15</v>
      </c>
      <c r="I147">
        <v>4</v>
      </c>
      <c r="J147">
        <v>199</v>
      </c>
      <c r="K147">
        <v>796</v>
      </c>
    </row>
    <row r="148" spans="1:11" x14ac:dyDescent="0.3">
      <c r="A148" s="1">
        <v>45403</v>
      </c>
      <c r="B148" t="s">
        <v>8</v>
      </c>
      <c r="C148" t="s">
        <v>9</v>
      </c>
      <c r="D148" s="6" t="s">
        <v>51</v>
      </c>
      <c r="E148" s="6" t="s">
        <v>57</v>
      </c>
      <c r="F148" s="6" t="s">
        <v>59</v>
      </c>
      <c r="G148" t="s">
        <v>10</v>
      </c>
      <c r="H148" t="s">
        <v>15</v>
      </c>
      <c r="I148">
        <v>2</v>
      </c>
      <c r="J148">
        <v>299</v>
      </c>
      <c r="K148">
        <v>598</v>
      </c>
    </row>
    <row r="149" spans="1:11" x14ac:dyDescent="0.3">
      <c r="A149" s="1">
        <v>45304</v>
      </c>
      <c r="B149" t="s">
        <v>16</v>
      </c>
      <c r="C149" t="s">
        <v>17</v>
      </c>
      <c r="D149" s="6" t="s">
        <v>52</v>
      </c>
      <c r="E149" s="6" t="s">
        <v>58</v>
      </c>
      <c r="F149" s="6" t="s">
        <v>61</v>
      </c>
      <c r="G149" t="s">
        <v>19</v>
      </c>
      <c r="H149" t="s">
        <v>11</v>
      </c>
      <c r="I149">
        <v>1</v>
      </c>
      <c r="J149">
        <v>299</v>
      </c>
      <c r="K149">
        <v>299</v>
      </c>
    </row>
    <row r="150" spans="1:11" x14ac:dyDescent="0.3">
      <c r="A150" s="1">
        <v>45634</v>
      </c>
      <c r="B150" t="s">
        <v>14</v>
      </c>
      <c r="C150" t="s">
        <v>9</v>
      </c>
      <c r="D150" s="6" t="s">
        <v>50</v>
      </c>
      <c r="E150" s="6" t="s">
        <v>55</v>
      </c>
      <c r="F150" s="6" t="s">
        <v>59</v>
      </c>
      <c r="G150" t="s">
        <v>19</v>
      </c>
      <c r="H150" t="s">
        <v>13</v>
      </c>
      <c r="I150">
        <v>5</v>
      </c>
      <c r="J150">
        <v>199</v>
      </c>
      <c r="K150">
        <v>995</v>
      </c>
    </row>
    <row r="151" spans="1:11" x14ac:dyDescent="0.3">
      <c r="A151" s="1">
        <v>45374</v>
      </c>
      <c r="B151" t="s">
        <v>16</v>
      </c>
      <c r="C151" t="s">
        <v>17</v>
      </c>
      <c r="D151" s="6" t="s">
        <v>51</v>
      </c>
      <c r="E151" s="6" t="s">
        <v>56</v>
      </c>
      <c r="F151" s="6" t="s">
        <v>59</v>
      </c>
      <c r="G151" t="s">
        <v>12</v>
      </c>
      <c r="H151" t="s">
        <v>15</v>
      </c>
      <c r="I151">
        <v>3</v>
      </c>
      <c r="J151">
        <v>1999</v>
      </c>
      <c r="K151">
        <v>5997</v>
      </c>
    </row>
    <row r="152" spans="1:11" x14ac:dyDescent="0.3">
      <c r="A152" s="1">
        <v>45487</v>
      </c>
      <c r="B152" t="s">
        <v>14</v>
      </c>
      <c r="C152" t="s">
        <v>9</v>
      </c>
      <c r="D152" s="6" t="s">
        <v>52</v>
      </c>
      <c r="E152" s="6" t="s">
        <v>57</v>
      </c>
      <c r="F152" s="6" t="s">
        <v>59</v>
      </c>
      <c r="G152" t="s">
        <v>10</v>
      </c>
      <c r="H152" t="s">
        <v>18</v>
      </c>
      <c r="I152">
        <v>4</v>
      </c>
      <c r="J152">
        <v>299</v>
      </c>
      <c r="K152">
        <v>1196</v>
      </c>
    </row>
    <row r="153" spans="1:11" x14ac:dyDescent="0.3">
      <c r="A153" s="1">
        <v>45557</v>
      </c>
      <c r="B153" t="s">
        <v>23</v>
      </c>
      <c r="C153" t="s">
        <v>17</v>
      </c>
      <c r="D153" s="6" t="s">
        <v>50</v>
      </c>
      <c r="E153" s="6" t="s">
        <v>58</v>
      </c>
      <c r="F153" s="6" t="s">
        <v>59</v>
      </c>
      <c r="G153" t="s">
        <v>22</v>
      </c>
      <c r="H153" t="s">
        <v>13</v>
      </c>
      <c r="I153">
        <v>4</v>
      </c>
      <c r="J153">
        <v>349</v>
      </c>
      <c r="K153">
        <v>1396</v>
      </c>
    </row>
    <row r="154" spans="1:11" x14ac:dyDescent="0.3">
      <c r="A154" s="1">
        <v>45484</v>
      </c>
      <c r="B154" t="s">
        <v>14</v>
      </c>
      <c r="C154" t="s">
        <v>9</v>
      </c>
      <c r="D154" s="6" t="s">
        <v>51</v>
      </c>
      <c r="E154" s="6" t="s">
        <v>55</v>
      </c>
      <c r="F154" s="6" t="s">
        <v>59</v>
      </c>
      <c r="G154" t="s">
        <v>19</v>
      </c>
      <c r="H154" t="s">
        <v>25</v>
      </c>
      <c r="I154">
        <v>4</v>
      </c>
      <c r="J154">
        <v>199</v>
      </c>
      <c r="K154">
        <v>796</v>
      </c>
    </row>
    <row r="155" spans="1:11" x14ac:dyDescent="0.3">
      <c r="A155" s="1">
        <v>45298</v>
      </c>
      <c r="B155" t="s">
        <v>16</v>
      </c>
      <c r="C155" t="s">
        <v>17</v>
      </c>
      <c r="D155" s="6" t="s">
        <v>52</v>
      </c>
      <c r="E155" s="6" t="s">
        <v>56</v>
      </c>
      <c r="F155" s="6" t="s">
        <v>59</v>
      </c>
      <c r="G155" t="s">
        <v>10</v>
      </c>
      <c r="H155" t="s">
        <v>15</v>
      </c>
      <c r="I155">
        <v>1</v>
      </c>
      <c r="J155">
        <v>1999</v>
      </c>
      <c r="K155">
        <v>1999</v>
      </c>
    </row>
    <row r="156" spans="1:11" x14ac:dyDescent="0.3">
      <c r="A156" s="1">
        <v>45470</v>
      </c>
      <c r="B156" t="s">
        <v>20</v>
      </c>
      <c r="C156" t="s">
        <v>21</v>
      </c>
      <c r="D156" s="6" t="s">
        <v>50</v>
      </c>
      <c r="E156" s="6" t="s">
        <v>57</v>
      </c>
      <c r="F156" s="6" t="s">
        <v>59</v>
      </c>
      <c r="G156" t="s">
        <v>24</v>
      </c>
      <c r="H156" t="s">
        <v>15</v>
      </c>
      <c r="I156">
        <v>3</v>
      </c>
      <c r="J156">
        <v>2499</v>
      </c>
      <c r="K156">
        <v>7497</v>
      </c>
    </row>
    <row r="157" spans="1:11" x14ac:dyDescent="0.3">
      <c r="A157" s="1">
        <v>45467</v>
      </c>
      <c r="B157" t="s">
        <v>8</v>
      </c>
      <c r="C157" t="s">
        <v>9</v>
      </c>
      <c r="D157" s="6" t="s">
        <v>51</v>
      </c>
      <c r="E157" s="6" t="s">
        <v>58</v>
      </c>
      <c r="F157" s="6" t="s">
        <v>61</v>
      </c>
      <c r="G157" t="s">
        <v>12</v>
      </c>
      <c r="H157" t="s">
        <v>25</v>
      </c>
      <c r="I157">
        <v>5</v>
      </c>
      <c r="J157">
        <v>199</v>
      </c>
      <c r="K157">
        <v>995</v>
      </c>
    </row>
    <row r="158" spans="1:11" x14ac:dyDescent="0.3">
      <c r="A158" s="1">
        <v>45373</v>
      </c>
      <c r="B158" t="s">
        <v>16</v>
      </c>
      <c r="C158" t="s">
        <v>17</v>
      </c>
      <c r="D158" s="6" t="s">
        <v>52</v>
      </c>
      <c r="E158" s="6" t="s">
        <v>55</v>
      </c>
      <c r="F158" s="6" t="s">
        <v>59</v>
      </c>
      <c r="G158" t="s">
        <v>19</v>
      </c>
      <c r="H158" t="s">
        <v>15</v>
      </c>
      <c r="I158">
        <v>5</v>
      </c>
      <c r="J158">
        <v>349</v>
      </c>
      <c r="K158">
        <v>1745</v>
      </c>
    </row>
    <row r="159" spans="1:11" x14ac:dyDescent="0.3">
      <c r="A159" s="1">
        <v>45561</v>
      </c>
      <c r="B159" t="s">
        <v>20</v>
      </c>
      <c r="C159" t="s">
        <v>21</v>
      </c>
      <c r="D159" s="6" t="s">
        <v>51</v>
      </c>
      <c r="E159" s="6" t="s">
        <v>56</v>
      </c>
      <c r="F159" s="6" t="s">
        <v>59</v>
      </c>
      <c r="G159" t="s">
        <v>19</v>
      </c>
      <c r="H159" t="s">
        <v>25</v>
      </c>
      <c r="I159">
        <v>5</v>
      </c>
      <c r="J159">
        <v>1999</v>
      </c>
      <c r="K159">
        <v>9995</v>
      </c>
    </row>
    <row r="160" spans="1:11" x14ac:dyDescent="0.3">
      <c r="A160" s="1">
        <v>45439</v>
      </c>
      <c r="B160" t="s">
        <v>8</v>
      </c>
      <c r="C160" t="s">
        <v>9</v>
      </c>
      <c r="D160" s="6" t="s">
        <v>52</v>
      </c>
      <c r="E160" s="6" t="s">
        <v>57</v>
      </c>
      <c r="F160" s="6" t="s">
        <v>59</v>
      </c>
      <c r="G160" t="s">
        <v>22</v>
      </c>
      <c r="H160" t="s">
        <v>25</v>
      </c>
      <c r="I160">
        <v>3</v>
      </c>
      <c r="J160">
        <v>349</v>
      </c>
      <c r="K160">
        <v>1047</v>
      </c>
    </row>
    <row r="161" spans="1:11" x14ac:dyDescent="0.3">
      <c r="A161" s="1">
        <v>45415</v>
      </c>
      <c r="B161" t="s">
        <v>16</v>
      </c>
      <c r="C161" t="s">
        <v>17</v>
      </c>
      <c r="D161" s="6" t="s">
        <v>50</v>
      </c>
      <c r="E161" s="6" t="s">
        <v>58</v>
      </c>
      <c r="F161" s="6" t="s">
        <v>59</v>
      </c>
      <c r="G161" t="s">
        <v>12</v>
      </c>
      <c r="H161" t="s">
        <v>11</v>
      </c>
      <c r="I161">
        <v>4</v>
      </c>
      <c r="J161">
        <v>199</v>
      </c>
      <c r="K161">
        <v>796</v>
      </c>
    </row>
    <row r="162" spans="1:11" x14ac:dyDescent="0.3">
      <c r="A162" s="1">
        <v>45572</v>
      </c>
      <c r="B162" t="s">
        <v>14</v>
      </c>
      <c r="C162" t="s">
        <v>9</v>
      </c>
      <c r="D162" s="6" t="s">
        <v>51</v>
      </c>
      <c r="E162" s="6" t="s">
        <v>55</v>
      </c>
      <c r="F162" s="6" t="s">
        <v>61</v>
      </c>
      <c r="G162" t="s">
        <v>19</v>
      </c>
      <c r="H162" t="s">
        <v>11</v>
      </c>
      <c r="I162">
        <v>4</v>
      </c>
      <c r="J162">
        <v>249</v>
      </c>
      <c r="K162">
        <v>996</v>
      </c>
    </row>
    <row r="163" spans="1:11" x14ac:dyDescent="0.3">
      <c r="A163" s="1">
        <v>45624</v>
      </c>
      <c r="B163" t="s">
        <v>20</v>
      </c>
      <c r="C163" t="s">
        <v>21</v>
      </c>
      <c r="D163" s="6" t="s">
        <v>52</v>
      </c>
      <c r="E163" s="6" t="s">
        <v>56</v>
      </c>
      <c r="F163" s="6" t="s">
        <v>59</v>
      </c>
      <c r="G163" t="s">
        <v>19</v>
      </c>
      <c r="H163" t="s">
        <v>18</v>
      </c>
      <c r="I163">
        <v>2</v>
      </c>
      <c r="J163">
        <v>199</v>
      </c>
      <c r="K163">
        <v>398</v>
      </c>
    </row>
    <row r="164" spans="1:11" x14ac:dyDescent="0.3">
      <c r="A164" s="1">
        <v>45312</v>
      </c>
      <c r="B164" t="s">
        <v>23</v>
      </c>
      <c r="C164" t="s">
        <v>17</v>
      </c>
      <c r="D164" s="6" t="s">
        <v>50</v>
      </c>
      <c r="E164" s="6" t="s">
        <v>57</v>
      </c>
      <c r="F164" s="6" t="s">
        <v>59</v>
      </c>
      <c r="G164" t="s">
        <v>10</v>
      </c>
      <c r="H164" t="s">
        <v>25</v>
      </c>
      <c r="I164">
        <v>5</v>
      </c>
      <c r="J164">
        <v>299</v>
      </c>
      <c r="K164">
        <v>1495</v>
      </c>
    </row>
    <row r="165" spans="1:11" x14ac:dyDescent="0.3">
      <c r="A165" s="1">
        <v>45418</v>
      </c>
      <c r="B165" t="s">
        <v>14</v>
      </c>
      <c r="C165" t="s">
        <v>9</v>
      </c>
      <c r="D165" s="6" t="s">
        <v>51</v>
      </c>
      <c r="E165" s="6" t="s">
        <v>58</v>
      </c>
      <c r="F165" s="6" t="s">
        <v>59</v>
      </c>
      <c r="G165" t="s">
        <v>24</v>
      </c>
      <c r="H165" t="s">
        <v>25</v>
      </c>
      <c r="I165">
        <v>4</v>
      </c>
      <c r="J165">
        <v>1999</v>
      </c>
      <c r="K165">
        <v>7996</v>
      </c>
    </row>
    <row r="166" spans="1:11" x14ac:dyDescent="0.3">
      <c r="A166" s="1">
        <v>45653</v>
      </c>
      <c r="B166" t="s">
        <v>20</v>
      </c>
      <c r="C166" t="s">
        <v>21</v>
      </c>
      <c r="D166" s="6" t="s">
        <v>52</v>
      </c>
      <c r="E166" s="6" t="s">
        <v>55</v>
      </c>
      <c r="F166" s="6" t="s">
        <v>59</v>
      </c>
      <c r="G166" t="s">
        <v>19</v>
      </c>
      <c r="H166" t="s">
        <v>25</v>
      </c>
      <c r="I166">
        <v>2</v>
      </c>
      <c r="J166">
        <v>199</v>
      </c>
      <c r="K166">
        <v>398</v>
      </c>
    </row>
    <row r="167" spans="1:11" x14ac:dyDescent="0.3">
      <c r="A167" s="1">
        <v>45386</v>
      </c>
      <c r="B167" t="s">
        <v>16</v>
      </c>
      <c r="C167" t="s">
        <v>17</v>
      </c>
      <c r="D167" s="6" t="s">
        <v>50</v>
      </c>
      <c r="E167" s="6" t="s">
        <v>56</v>
      </c>
      <c r="F167" s="6" t="s">
        <v>59</v>
      </c>
      <c r="G167" t="s">
        <v>24</v>
      </c>
      <c r="H167" t="s">
        <v>25</v>
      </c>
      <c r="I167">
        <v>4</v>
      </c>
      <c r="J167">
        <v>249</v>
      </c>
      <c r="K167">
        <v>996</v>
      </c>
    </row>
    <row r="168" spans="1:11" x14ac:dyDescent="0.3">
      <c r="A168" s="1">
        <v>45603</v>
      </c>
      <c r="B168" t="s">
        <v>16</v>
      </c>
      <c r="C168" t="s">
        <v>17</v>
      </c>
      <c r="D168" s="6" t="s">
        <v>51</v>
      </c>
      <c r="E168" s="6" t="s">
        <v>57</v>
      </c>
      <c r="F168" s="6" t="s">
        <v>61</v>
      </c>
      <c r="G168" t="s">
        <v>10</v>
      </c>
      <c r="H168" t="s">
        <v>15</v>
      </c>
      <c r="I168">
        <v>1</v>
      </c>
      <c r="J168">
        <v>199</v>
      </c>
      <c r="K168">
        <v>199</v>
      </c>
    </row>
    <row r="169" spans="1:11" x14ac:dyDescent="0.3">
      <c r="A169" s="1">
        <v>45609</v>
      </c>
      <c r="B169" t="s">
        <v>16</v>
      </c>
      <c r="C169" t="s">
        <v>17</v>
      </c>
      <c r="D169" s="6" t="s">
        <v>52</v>
      </c>
      <c r="E169" s="6" t="s">
        <v>58</v>
      </c>
      <c r="F169" s="6" t="s">
        <v>59</v>
      </c>
      <c r="G169" t="s">
        <v>12</v>
      </c>
      <c r="H169" t="s">
        <v>13</v>
      </c>
      <c r="I169">
        <v>1</v>
      </c>
      <c r="J169">
        <v>2499</v>
      </c>
      <c r="K169">
        <v>2499</v>
      </c>
    </row>
    <row r="170" spans="1:11" x14ac:dyDescent="0.3">
      <c r="A170" s="1">
        <v>45374</v>
      </c>
      <c r="B170" t="s">
        <v>8</v>
      </c>
      <c r="C170" t="s">
        <v>9</v>
      </c>
      <c r="D170" s="6" t="s">
        <v>51</v>
      </c>
      <c r="E170" s="6" t="s">
        <v>55</v>
      </c>
      <c r="F170" s="6" t="s">
        <v>59</v>
      </c>
      <c r="G170" t="s">
        <v>24</v>
      </c>
      <c r="H170" t="s">
        <v>25</v>
      </c>
      <c r="I170">
        <v>3</v>
      </c>
      <c r="J170">
        <v>299</v>
      </c>
      <c r="K170">
        <v>897</v>
      </c>
    </row>
    <row r="171" spans="1:11" x14ac:dyDescent="0.3">
      <c r="A171" s="1">
        <v>45598</v>
      </c>
      <c r="B171" t="s">
        <v>14</v>
      </c>
      <c r="C171" t="s">
        <v>9</v>
      </c>
      <c r="D171" s="6" t="s">
        <v>52</v>
      </c>
      <c r="E171" s="6" t="s">
        <v>56</v>
      </c>
      <c r="F171" s="6" t="s">
        <v>59</v>
      </c>
      <c r="G171" t="s">
        <v>22</v>
      </c>
      <c r="H171" t="s">
        <v>15</v>
      </c>
      <c r="I171">
        <v>2</v>
      </c>
      <c r="J171">
        <v>199</v>
      </c>
      <c r="K171">
        <v>398</v>
      </c>
    </row>
    <row r="172" spans="1:11" x14ac:dyDescent="0.3">
      <c r="A172" s="1">
        <v>45569</v>
      </c>
      <c r="B172" t="s">
        <v>23</v>
      </c>
      <c r="C172" t="s">
        <v>17</v>
      </c>
      <c r="D172" s="6" t="s">
        <v>50</v>
      </c>
      <c r="E172" s="6" t="s">
        <v>57</v>
      </c>
      <c r="F172" s="6" t="s">
        <v>59</v>
      </c>
      <c r="G172" t="s">
        <v>24</v>
      </c>
      <c r="H172" t="s">
        <v>15</v>
      </c>
      <c r="I172">
        <v>1</v>
      </c>
      <c r="J172">
        <v>249</v>
      </c>
      <c r="K172">
        <v>249</v>
      </c>
    </row>
    <row r="173" spans="1:11" x14ac:dyDescent="0.3">
      <c r="A173" s="1">
        <v>45487</v>
      </c>
      <c r="B173" t="s">
        <v>14</v>
      </c>
      <c r="C173" t="s">
        <v>9</v>
      </c>
      <c r="D173" s="6" t="s">
        <v>51</v>
      </c>
      <c r="E173" s="6" t="s">
        <v>58</v>
      </c>
      <c r="F173" s="6" t="s">
        <v>61</v>
      </c>
      <c r="G173" t="s">
        <v>19</v>
      </c>
      <c r="H173" t="s">
        <v>15</v>
      </c>
      <c r="I173">
        <v>1</v>
      </c>
      <c r="J173">
        <v>2499</v>
      </c>
      <c r="K173">
        <v>2499</v>
      </c>
    </row>
    <row r="174" spans="1:11" x14ac:dyDescent="0.3">
      <c r="A174" s="1">
        <v>45378</v>
      </c>
      <c r="B174" t="s">
        <v>23</v>
      </c>
      <c r="C174" t="s">
        <v>17</v>
      </c>
      <c r="D174" s="6" t="s">
        <v>52</v>
      </c>
      <c r="E174" s="6" t="s">
        <v>55</v>
      </c>
      <c r="F174" s="6" t="s">
        <v>59</v>
      </c>
      <c r="G174" t="s">
        <v>24</v>
      </c>
      <c r="H174" t="s">
        <v>18</v>
      </c>
      <c r="I174">
        <v>3</v>
      </c>
      <c r="J174">
        <v>249</v>
      </c>
      <c r="K174">
        <v>747</v>
      </c>
    </row>
    <row r="175" spans="1:11" x14ac:dyDescent="0.3">
      <c r="A175" s="1">
        <v>45353</v>
      </c>
      <c r="B175" t="s">
        <v>23</v>
      </c>
      <c r="C175" t="s">
        <v>17</v>
      </c>
      <c r="D175" s="6" t="s">
        <v>50</v>
      </c>
      <c r="E175" s="6" t="s">
        <v>56</v>
      </c>
      <c r="F175" s="6" t="s">
        <v>59</v>
      </c>
      <c r="G175" t="s">
        <v>22</v>
      </c>
      <c r="H175" t="s">
        <v>25</v>
      </c>
      <c r="I175">
        <v>2</v>
      </c>
      <c r="J175">
        <v>199</v>
      </c>
      <c r="K175">
        <v>398</v>
      </c>
    </row>
    <row r="176" spans="1:11" x14ac:dyDescent="0.3">
      <c r="A176" s="1">
        <v>45510</v>
      </c>
      <c r="B176" t="s">
        <v>14</v>
      </c>
      <c r="C176" t="s">
        <v>9</v>
      </c>
      <c r="D176" s="6" t="s">
        <v>51</v>
      </c>
      <c r="E176" s="6" t="s">
        <v>57</v>
      </c>
      <c r="F176" s="6" t="s">
        <v>59</v>
      </c>
      <c r="G176" t="s">
        <v>10</v>
      </c>
      <c r="H176" t="s">
        <v>25</v>
      </c>
      <c r="I176">
        <v>5</v>
      </c>
      <c r="J176">
        <v>299</v>
      </c>
      <c r="K176">
        <v>1495</v>
      </c>
    </row>
    <row r="177" spans="1:11" x14ac:dyDescent="0.3">
      <c r="A177" s="1">
        <v>45597</v>
      </c>
      <c r="B177" t="s">
        <v>20</v>
      </c>
      <c r="C177" t="s">
        <v>21</v>
      </c>
      <c r="D177" s="6" t="s">
        <v>52</v>
      </c>
      <c r="E177" s="6" t="s">
        <v>58</v>
      </c>
      <c r="F177" s="6" t="s">
        <v>59</v>
      </c>
      <c r="G177" t="s">
        <v>22</v>
      </c>
      <c r="H177" t="s">
        <v>11</v>
      </c>
      <c r="I177">
        <v>3</v>
      </c>
      <c r="J177">
        <v>2499</v>
      </c>
      <c r="K177">
        <v>7497</v>
      </c>
    </row>
    <row r="178" spans="1:11" x14ac:dyDescent="0.3">
      <c r="A178" s="1">
        <v>45646</v>
      </c>
      <c r="B178" t="s">
        <v>8</v>
      </c>
      <c r="C178" t="s">
        <v>9</v>
      </c>
      <c r="D178" s="6" t="s">
        <v>50</v>
      </c>
      <c r="E178" s="6" t="s">
        <v>55</v>
      </c>
      <c r="F178" s="6" t="s">
        <v>59</v>
      </c>
      <c r="G178" t="s">
        <v>24</v>
      </c>
      <c r="H178" t="s">
        <v>15</v>
      </c>
      <c r="I178">
        <v>3</v>
      </c>
      <c r="J178">
        <v>1999</v>
      </c>
      <c r="K178">
        <v>5997</v>
      </c>
    </row>
    <row r="179" spans="1:11" x14ac:dyDescent="0.3">
      <c r="A179" s="1">
        <v>45416</v>
      </c>
      <c r="B179" t="s">
        <v>20</v>
      </c>
      <c r="C179" t="s">
        <v>21</v>
      </c>
      <c r="D179" s="6" t="s">
        <v>51</v>
      </c>
      <c r="E179" s="6" t="s">
        <v>56</v>
      </c>
      <c r="F179" s="6" t="s">
        <v>61</v>
      </c>
      <c r="G179" t="s">
        <v>10</v>
      </c>
      <c r="H179" t="s">
        <v>18</v>
      </c>
      <c r="I179">
        <v>5</v>
      </c>
      <c r="J179">
        <v>249</v>
      </c>
      <c r="K179">
        <v>1245</v>
      </c>
    </row>
    <row r="180" spans="1:11" x14ac:dyDescent="0.3">
      <c r="A180" s="1">
        <v>45421</v>
      </c>
      <c r="B180" t="s">
        <v>8</v>
      </c>
      <c r="C180" t="s">
        <v>9</v>
      </c>
      <c r="D180" s="6" t="s">
        <v>52</v>
      </c>
      <c r="E180" s="6" t="s">
        <v>57</v>
      </c>
      <c r="F180" s="6" t="s">
        <v>59</v>
      </c>
      <c r="G180" t="s">
        <v>22</v>
      </c>
      <c r="H180" t="s">
        <v>11</v>
      </c>
      <c r="I180">
        <v>1</v>
      </c>
      <c r="J180">
        <v>199</v>
      </c>
      <c r="K180">
        <v>199</v>
      </c>
    </row>
    <row r="181" spans="1:11" x14ac:dyDescent="0.3">
      <c r="A181" s="1">
        <v>45418</v>
      </c>
      <c r="B181" t="s">
        <v>14</v>
      </c>
      <c r="C181" t="s">
        <v>9</v>
      </c>
      <c r="D181" s="6" t="s">
        <v>51</v>
      </c>
      <c r="E181" s="6" t="s">
        <v>58</v>
      </c>
      <c r="F181" s="6" t="s">
        <v>59</v>
      </c>
      <c r="G181" t="s">
        <v>24</v>
      </c>
      <c r="H181" t="s">
        <v>15</v>
      </c>
      <c r="I181">
        <v>5</v>
      </c>
      <c r="J181">
        <v>199</v>
      </c>
      <c r="K181">
        <v>995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926F-D0E1-4A79-8AAC-C1402A467E50}">
  <dimension ref="A3:I36"/>
  <sheetViews>
    <sheetView workbookViewId="0">
      <selection activeCell="B34" sqref="B34:B36"/>
    </sheetView>
  </sheetViews>
  <sheetFormatPr defaultRowHeight="14.4" x14ac:dyDescent="0.3"/>
  <cols>
    <col min="1" max="1" width="17.21875" bestFit="1" customWidth="1"/>
    <col min="2" max="2" width="18.109375" style="10" bestFit="1" customWidth="1"/>
    <col min="9" max="9" width="14" bestFit="1" customWidth="1"/>
  </cols>
  <sheetData>
    <row r="3" spans="1:9" x14ac:dyDescent="0.3">
      <c r="A3" s="4" t="s">
        <v>27</v>
      </c>
      <c r="B3" t="s">
        <v>26</v>
      </c>
      <c r="H3" t="s">
        <v>55</v>
      </c>
      <c r="I3" s="10">
        <f>GETPIVOTDATA("Valor Total",$A$25)</f>
        <v>121607</v>
      </c>
    </row>
    <row r="4" spans="1:9" x14ac:dyDescent="0.3">
      <c r="A4" s="5" t="s">
        <v>52</v>
      </c>
      <c r="B4" s="13">
        <v>167818</v>
      </c>
      <c r="H4" t="s">
        <v>56</v>
      </c>
      <c r="I4" s="10">
        <f>GETPIVOTDATA("Valor Total",$A$29)</f>
        <v>109115</v>
      </c>
    </row>
    <row r="5" spans="1:9" x14ac:dyDescent="0.3">
      <c r="A5" s="9" t="s">
        <v>16</v>
      </c>
      <c r="B5" s="13">
        <v>35207</v>
      </c>
      <c r="I5" s="10"/>
    </row>
    <row r="6" spans="1:9" x14ac:dyDescent="0.3">
      <c r="A6" s="9" t="s">
        <v>20</v>
      </c>
      <c r="B6" s="13">
        <v>32567</v>
      </c>
      <c r="H6" t="s">
        <v>61</v>
      </c>
      <c r="I6" s="10">
        <f>GETPIVOTDATA("Valor Total",$A$33,"Subcrição? Sim/Não","Não")</f>
        <v>86865</v>
      </c>
    </row>
    <row r="7" spans="1:9" x14ac:dyDescent="0.3">
      <c r="A7" s="9" t="s">
        <v>23</v>
      </c>
      <c r="B7" s="13">
        <v>60208</v>
      </c>
      <c r="H7" t="s">
        <v>60</v>
      </c>
      <c r="I7" s="10">
        <f>GETPIVOTDATA("Valor Total",$A$33,"Subcrição? Sim/Não","Sim ")</f>
        <v>368378</v>
      </c>
    </row>
    <row r="8" spans="1:9" x14ac:dyDescent="0.3">
      <c r="A8" s="9" t="s">
        <v>8</v>
      </c>
      <c r="B8" s="13">
        <v>12867</v>
      </c>
    </row>
    <row r="9" spans="1:9" x14ac:dyDescent="0.3">
      <c r="A9" s="9" t="s">
        <v>14</v>
      </c>
      <c r="B9" s="13">
        <v>26969</v>
      </c>
    </row>
    <row r="10" spans="1:9" x14ac:dyDescent="0.3">
      <c r="A10" s="5" t="s">
        <v>51</v>
      </c>
      <c r="B10" s="13">
        <v>163836</v>
      </c>
    </row>
    <row r="11" spans="1:9" x14ac:dyDescent="0.3">
      <c r="A11" s="9" t="s">
        <v>16</v>
      </c>
      <c r="B11" s="13">
        <v>30010</v>
      </c>
    </row>
    <row r="12" spans="1:9" x14ac:dyDescent="0.3">
      <c r="A12" s="9" t="s">
        <v>20</v>
      </c>
      <c r="B12" s="13">
        <v>54836</v>
      </c>
    </row>
    <row r="13" spans="1:9" x14ac:dyDescent="0.3">
      <c r="A13" s="9" t="s">
        <v>23</v>
      </c>
      <c r="B13" s="13">
        <v>6079</v>
      </c>
    </row>
    <row r="14" spans="1:9" x14ac:dyDescent="0.3">
      <c r="A14" s="9" t="s">
        <v>8</v>
      </c>
      <c r="B14" s="13">
        <v>13470</v>
      </c>
    </row>
    <row r="15" spans="1:9" x14ac:dyDescent="0.3">
      <c r="A15" s="9" t="s">
        <v>14</v>
      </c>
      <c r="B15" s="13">
        <v>59441</v>
      </c>
    </row>
    <row r="16" spans="1:9" x14ac:dyDescent="0.3">
      <c r="A16" s="5" t="s">
        <v>50</v>
      </c>
      <c r="B16" s="13">
        <v>123589</v>
      </c>
    </row>
    <row r="17" spans="1:2" x14ac:dyDescent="0.3">
      <c r="A17" s="9" t="s">
        <v>16</v>
      </c>
      <c r="B17" s="13">
        <v>24603</v>
      </c>
    </row>
    <row r="18" spans="1:2" x14ac:dyDescent="0.3">
      <c r="A18" s="9" t="s">
        <v>20</v>
      </c>
      <c r="B18" s="13">
        <v>39862</v>
      </c>
    </row>
    <row r="19" spans="1:2" x14ac:dyDescent="0.3">
      <c r="A19" s="9" t="s">
        <v>23</v>
      </c>
      <c r="B19" s="13">
        <v>32810</v>
      </c>
    </row>
    <row r="20" spans="1:2" x14ac:dyDescent="0.3">
      <c r="A20" s="9" t="s">
        <v>8</v>
      </c>
      <c r="B20" s="13">
        <v>9536</v>
      </c>
    </row>
    <row r="21" spans="1:2" x14ac:dyDescent="0.3">
      <c r="A21" s="9" t="s">
        <v>14</v>
      </c>
      <c r="B21" s="13">
        <v>16778</v>
      </c>
    </row>
    <row r="22" spans="1:2" x14ac:dyDescent="0.3">
      <c r="A22" s="5" t="s">
        <v>28</v>
      </c>
      <c r="B22" s="13">
        <v>455243</v>
      </c>
    </row>
    <row r="25" spans="1:2" x14ac:dyDescent="0.3">
      <c r="A25" s="4" t="s">
        <v>27</v>
      </c>
      <c r="B25" t="s">
        <v>26</v>
      </c>
    </row>
    <row r="26" spans="1:2" x14ac:dyDescent="0.3">
      <c r="A26" s="5" t="s">
        <v>55</v>
      </c>
      <c r="B26" s="13">
        <v>121607</v>
      </c>
    </row>
    <row r="27" spans="1:2" x14ac:dyDescent="0.3">
      <c r="A27" s="5" t="s">
        <v>28</v>
      </c>
      <c r="B27" s="13">
        <v>121607</v>
      </c>
    </row>
    <row r="29" spans="1:2" x14ac:dyDescent="0.3">
      <c r="A29" s="4" t="s">
        <v>27</v>
      </c>
      <c r="B29" t="s">
        <v>26</v>
      </c>
    </row>
    <row r="30" spans="1:2" x14ac:dyDescent="0.3">
      <c r="A30" s="5" t="s">
        <v>56</v>
      </c>
      <c r="B30" s="13">
        <v>109115</v>
      </c>
    </row>
    <row r="31" spans="1:2" x14ac:dyDescent="0.3">
      <c r="A31" s="5" t="s">
        <v>28</v>
      </c>
      <c r="B31" s="13">
        <v>109115</v>
      </c>
    </row>
    <row r="33" spans="1:2" x14ac:dyDescent="0.3">
      <c r="A33" s="4" t="s">
        <v>27</v>
      </c>
      <c r="B33" t="s">
        <v>26</v>
      </c>
    </row>
    <row r="34" spans="1:2" x14ac:dyDescent="0.3">
      <c r="A34" s="5" t="s">
        <v>61</v>
      </c>
      <c r="B34" s="13">
        <v>86865</v>
      </c>
    </row>
    <row r="35" spans="1:2" x14ac:dyDescent="0.3">
      <c r="A35" s="5" t="s">
        <v>59</v>
      </c>
      <c r="B35" s="13">
        <v>368378</v>
      </c>
    </row>
    <row r="36" spans="1:2" x14ac:dyDescent="0.3">
      <c r="A36" s="5" t="s">
        <v>28</v>
      </c>
      <c r="B36" s="13">
        <v>455243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155A-D384-46F2-8F85-5F257D86AAC8}">
  <dimension ref="A1:B26"/>
  <sheetViews>
    <sheetView workbookViewId="0">
      <selection activeCell="B8" sqref="B8"/>
    </sheetView>
  </sheetViews>
  <sheetFormatPr defaultRowHeight="14.4" x14ac:dyDescent="0.3"/>
  <cols>
    <col min="1" max="1" width="17.21875" bestFit="1" customWidth="1"/>
    <col min="2" max="2" width="18.109375" bestFit="1" customWidth="1"/>
    <col min="3" max="3" width="10" bestFit="1" customWidth="1"/>
    <col min="4" max="4" width="13.88671875" bestFit="1" customWidth="1"/>
    <col min="5" max="5" width="12" bestFit="1" customWidth="1"/>
    <col min="6" max="6" width="12.109375" bestFit="1" customWidth="1"/>
    <col min="7" max="7" width="10" bestFit="1" customWidth="1"/>
  </cols>
  <sheetData>
    <row r="1" spans="1:2" x14ac:dyDescent="0.3">
      <c r="A1" s="4" t="s">
        <v>1</v>
      </c>
      <c r="B1" s="6" t="s">
        <v>42</v>
      </c>
    </row>
    <row r="3" spans="1:2" x14ac:dyDescent="0.3">
      <c r="A3" s="4" t="s">
        <v>27</v>
      </c>
      <c r="B3" t="s">
        <v>26</v>
      </c>
    </row>
    <row r="4" spans="1:2" x14ac:dyDescent="0.3">
      <c r="A4" s="5" t="s">
        <v>22</v>
      </c>
      <c r="B4" s="3">
        <v>100434</v>
      </c>
    </row>
    <row r="5" spans="1:2" x14ac:dyDescent="0.3">
      <c r="A5" s="5" t="s">
        <v>10</v>
      </c>
      <c r="B5" s="3">
        <v>97877</v>
      </c>
    </row>
    <row r="6" spans="1:2" x14ac:dyDescent="0.3">
      <c r="A6" s="5" t="s">
        <v>19</v>
      </c>
      <c r="B6" s="3">
        <v>80129</v>
      </c>
    </row>
    <row r="7" spans="1:2" x14ac:dyDescent="0.3">
      <c r="A7" s="5" t="s">
        <v>24</v>
      </c>
      <c r="B7" s="3">
        <v>127989</v>
      </c>
    </row>
    <row r="8" spans="1:2" x14ac:dyDescent="0.3">
      <c r="A8" s="5" t="s">
        <v>12</v>
      </c>
      <c r="B8" s="3">
        <v>48814</v>
      </c>
    </row>
    <row r="9" spans="1:2" x14ac:dyDescent="0.3">
      <c r="A9" s="5" t="s">
        <v>28</v>
      </c>
      <c r="B9" s="3">
        <v>455243</v>
      </c>
    </row>
    <row r="11" spans="1:2" x14ac:dyDescent="0.3">
      <c r="A11" s="6"/>
      <c r="B11" s="6"/>
    </row>
    <row r="12" spans="1:2" x14ac:dyDescent="0.3">
      <c r="A12" s="4" t="s">
        <v>27</v>
      </c>
      <c r="B12" t="s">
        <v>26</v>
      </c>
    </row>
    <row r="13" spans="1:2" x14ac:dyDescent="0.3">
      <c r="A13" s="5" t="s">
        <v>41</v>
      </c>
      <c r="B13" s="3">
        <v>455243</v>
      </c>
    </row>
    <row r="14" spans="1:2" x14ac:dyDescent="0.3">
      <c r="A14" s="7" t="s">
        <v>29</v>
      </c>
      <c r="B14" s="3">
        <v>26308</v>
      </c>
    </row>
    <row r="15" spans="1:2" x14ac:dyDescent="0.3">
      <c r="A15" s="7" t="s">
        <v>30</v>
      </c>
      <c r="B15" s="3">
        <v>15278</v>
      </c>
    </row>
    <row r="16" spans="1:2" x14ac:dyDescent="0.3">
      <c r="A16" s="7" t="s">
        <v>31</v>
      </c>
      <c r="B16" s="3">
        <v>42786</v>
      </c>
    </row>
    <row r="17" spans="1:2" x14ac:dyDescent="0.3">
      <c r="A17" s="7" t="s">
        <v>32</v>
      </c>
      <c r="B17" s="3">
        <v>53352</v>
      </c>
    </row>
    <row r="18" spans="1:2" x14ac:dyDescent="0.3">
      <c r="A18" s="7" t="s">
        <v>33</v>
      </c>
      <c r="B18" s="3">
        <v>75325</v>
      </c>
    </row>
    <row r="19" spans="1:2" x14ac:dyDescent="0.3">
      <c r="A19" s="7" t="s">
        <v>34</v>
      </c>
      <c r="B19" s="3">
        <v>67629</v>
      </c>
    </row>
    <row r="20" spans="1:2" x14ac:dyDescent="0.3">
      <c r="A20" s="7" t="s">
        <v>35</v>
      </c>
      <c r="B20" s="3">
        <v>11118</v>
      </c>
    </row>
    <row r="21" spans="1:2" x14ac:dyDescent="0.3">
      <c r="A21" s="7" t="s">
        <v>36</v>
      </c>
      <c r="B21" s="3">
        <v>31023</v>
      </c>
    </row>
    <row r="22" spans="1:2" x14ac:dyDescent="0.3">
      <c r="A22" s="7" t="s">
        <v>37</v>
      </c>
      <c r="B22" s="3">
        <v>22817</v>
      </c>
    </row>
    <row r="23" spans="1:2" x14ac:dyDescent="0.3">
      <c r="A23" s="7" t="s">
        <v>38</v>
      </c>
      <c r="B23" s="3">
        <v>37651</v>
      </c>
    </row>
    <row r="24" spans="1:2" x14ac:dyDescent="0.3">
      <c r="A24" s="7" t="s">
        <v>39</v>
      </c>
      <c r="B24" s="3">
        <v>22468</v>
      </c>
    </row>
    <row r="25" spans="1:2" x14ac:dyDescent="0.3">
      <c r="A25" s="7" t="s">
        <v>40</v>
      </c>
      <c r="B25" s="3">
        <v>49488</v>
      </c>
    </row>
    <row r="26" spans="1:2" x14ac:dyDescent="0.3">
      <c r="A26" s="5" t="s">
        <v>28</v>
      </c>
      <c r="B26" s="3">
        <v>455243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8"/>
  <sheetViews>
    <sheetView showGridLines="0" tabSelected="1" zoomScale="70" zoomScaleNormal="70" workbookViewId="0">
      <selection activeCell="AR1" sqref="AR1:BC1048576"/>
    </sheetView>
  </sheetViews>
  <sheetFormatPr defaultRowHeight="14.4" x14ac:dyDescent="0.3"/>
  <cols>
    <col min="1" max="45" width="8.88671875" style="6"/>
  </cols>
  <sheetData>
    <row r="1" spans="44:53" ht="23.4" x14ac:dyDescent="0.45">
      <c r="AR1" s="6" t="s">
        <v>62</v>
      </c>
      <c r="AT1" s="11" t="s">
        <v>43</v>
      </c>
      <c r="AU1" s="11"/>
      <c r="AV1" s="11"/>
      <c r="AW1" s="11"/>
      <c r="AX1" s="11"/>
      <c r="AY1" s="11"/>
      <c r="AZ1" s="11"/>
      <c r="BA1" s="11"/>
    </row>
    <row r="3" spans="44:53" x14ac:dyDescent="0.3">
      <c r="AT3" s="12" t="s">
        <v>44</v>
      </c>
      <c r="AU3" s="12"/>
      <c r="AV3" s="8"/>
      <c r="AW3" s="12" t="s">
        <v>45</v>
      </c>
      <c r="AX3" s="12"/>
      <c r="AY3" s="8"/>
      <c r="AZ3" s="12" t="s">
        <v>46</v>
      </c>
      <c r="BA3" s="12"/>
    </row>
    <row r="4" spans="44:53" x14ac:dyDescent="0.3">
      <c r="AT4" s="12"/>
      <c r="AU4" s="12"/>
      <c r="AV4" s="8"/>
      <c r="AW4" s="12"/>
      <c r="AX4" s="12"/>
      <c r="AY4" s="8"/>
      <c r="AZ4" s="12"/>
      <c r="BA4" s="12"/>
    </row>
    <row r="13" spans="44:53" x14ac:dyDescent="0.3">
      <c r="AT13" s="2"/>
    </row>
    <row r="18" spans="46:46" x14ac:dyDescent="0.3">
      <c r="AT18" s="2"/>
    </row>
  </sheetData>
  <mergeCells count="4">
    <mergeCell ref="AT1:BA1"/>
    <mergeCell ref="AT3:AU4"/>
    <mergeCell ref="AW3:AX4"/>
    <mergeCell ref="AZ3:BA4"/>
  </mergeCells>
  <pageMargins left="0.75" right="0.75" top="1" bottom="1" header="0.5" footer="0.5"/>
  <pageSetup paperSize="9" orientation="portrait" horizontalDpi="360" verticalDpi="360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Base_Dados</vt:lpstr>
      <vt:lpstr>Cálculos1</vt:lpstr>
      <vt:lpstr>Cálculos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Douglas Nunes Ferrari</cp:lastModifiedBy>
  <dcterms:created xsi:type="dcterms:W3CDTF">2025-12-19T19:50:09Z</dcterms:created>
  <dcterms:modified xsi:type="dcterms:W3CDTF">2026-01-17T22:33:34Z</dcterms:modified>
</cp:coreProperties>
</file>